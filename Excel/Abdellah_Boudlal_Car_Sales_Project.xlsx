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2838a309c3c5155/Desktop/"/>
    </mc:Choice>
  </mc:AlternateContent>
  <xr:revisionPtr revIDLastSave="367" documentId="8_{8435766C-4DB7-4A8D-A44E-B887614B76CE}" xr6:coauthVersionLast="47" xr6:coauthVersionMax="47" xr10:uidLastSave="{48337B57-94FC-466C-85C5-7C6572680969}"/>
  <bookViews>
    <workbookView xWindow="-135" yWindow="-16320" windowWidth="29040" windowHeight="15720" tabRatio="667" activeTab="1" xr2:uid="{00000000-000D-0000-FFFF-FFFF00000000}"/>
  </bookViews>
  <sheets>
    <sheet name="PROJECT SUMMARY" sheetId="2" r:id="rId1"/>
    <sheet name="Goal 1 — Sales by Manufacturer" sheetId="3" r:id="rId2"/>
    <sheet name="Goal 2 — Average Price by Vehic" sheetId="4" r:id="rId3"/>
    <sheet name="Goal 3 — Fuel Efficiency by HP " sheetId="5" r:id="rId4"/>
    <sheet name="Goal 4 — Most Expensive Models" sheetId="8" r:id="rId5"/>
    <sheet name="Goal 5 — Highest Resale Value M" sheetId="9" r:id="rId6"/>
    <sheet name="Goal 6 — Retention Classificati" sheetId="1" r:id="rId7"/>
    <sheet name="Conclusions" sheetId="10" r:id="rId8"/>
    <sheet name="Sales_Table" sheetId="14" r:id="rId9"/>
  </sheets>
  <definedNames>
    <definedName name="ExternalData_1" localSheetId="8" hidden="1">Sales_Table!$A$1:$L$156</definedName>
  </definedNames>
  <calcPr calcId="191029"/>
  <pivotCaches>
    <pivotCache cacheId="1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083CD1-1BE9-43F8-B716-E7FED8226376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</connections>
</file>

<file path=xl/sharedStrings.xml><?xml version="1.0" encoding="utf-8"?>
<sst xmlns="http://schemas.openxmlformats.org/spreadsheetml/2006/main" count="1037" uniqueCount="303">
  <si>
    <t>Project Summary</t>
  </si>
  <si>
    <t>Describe your data source:</t>
  </si>
  <si>
    <t>Number of data columns:</t>
  </si>
  <si>
    <t>Number of data records:</t>
  </si>
  <si>
    <t>Data Features Summary</t>
  </si>
  <si>
    <t>Column Name</t>
  </si>
  <si>
    <t>Description</t>
  </si>
  <si>
    <t>Grand Total</t>
  </si>
  <si>
    <t>The analysis focuses on how different membership types perform across several months using Excel visualizations.</t>
  </si>
  <si>
    <t>Manufacturer</t>
  </si>
  <si>
    <t>Car brand name</t>
  </si>
  <si>
    <t>Model</t>
  </si>
  <si>
    <t>Car model</t>
  </si>
  <si>
    <t>Unit Sales</t>
  </si>
  <si>
    <t>Units sold</t>
  </si>
  <si>
    <t>Price ($)</t>
  </si>
  <si>
    <t>Year Resale Value ($)</t>
  </si>
  <si>
    <t>Resale price</t>
  </si>
  <si>
    <t>Retention %</t>
  </si>
  <si>
    <t>Value retention</t>
  </si>
  <si>
    <t>Engine Size</t>
  </si>
  <si>
    <t>Engine capacity</t>
  </si>
  <si>
    <t>Horsepower</t>
  </si>
  <si>
    <t>Engine power</t>
  </si>
  <si>
    <t>Vehicle Type</t>
  </si>
  <si>
    <t>Car category</t>
  </si>
  <si>
    <t>Fuel Efficiency (MPG)</t>
  </si>
  <si>
    <t>Fuel economy</t>
  </si>
  <si>
    <t>Curb Weight</t>
  </si>
  <si>
    <t>Vehicle weight</t>
  </si>
  <si>
    <t>Sale price</t>
  </si>
  <si>
    <t>SECTION 1 — Introduction</t>
  </si>
  <si>
    <t>This project analyzes car sales performance and vehicle specifications using an Excel dataset. The goal of this analysis is to explore how vehicle characteristics such as price,</t>
  </si>
  <si>
    <t xml:space="preserve">horsepower, and fuel efficiency influence sales and market performance. Data visualization techniques were used to transform raw data into meaningful insights that can </t>
  </si>
  <si>
    <t>support business and marketing decisions in the automotive industry.</t>
  </si>
  <si>
    <t>Data Source:</t>
  </si>
  <si>
    <t>https://github.com/Sonya-7/Car_Sales_Dashboard/blob/main/Car_Sales.xlsx</t>
  </si>
  <si>
    <t>SECTION 2 — Data Description</t>
  </si>
  <si>
    <t>The dataset belongs to the automotive sales domain and contains detailed information about car manufacturers and models.</t>
  </si>
  <si>
    <t>The data file includes sales performance, pricing, resale value, retention rates, engine specifications, and physical vehicle attributes.</t>
  </si>
  <si>
    <t>The data source was obtained from GitHub and is publicly available for analytics and visualization practice.</t>
  </si>
  <si>
    <t>19 columns</t>
  </si>
  <si>
    <t>155 records</t>
  </si>
  <si>
    <t>SECTION 3 — Data Cleaning Strategies</t>
  </si>
  <si>
    <t>SECTION 4 — Clean Dataset</t>
  </si>
  <si>
    <t>An excerpt of the dataset includes:</t>
  </si>
  <si>
    <t xml:space="preserve"> -  Manufacturer: Acura, Audi, BMW…</t>
  </si>
  <si>
    <t xml:space="preserve"> -  Price range: $9,235 – $85,500</t>
  </si>
  <si>
    <t xml:space="preserve"> -  Sales range: 110 – 540,561 units</t>
  </si>
  <si>
    <t xml:space="preserve"> -  Fuel efficiency: 15 – 45 MPG</t>
  </si>
  <si>
    <t>This dataset allows analysis of relationships between vehicle performance and market success.</t>
  </si>
  <si>
    <t>Price</t>
  </si>
  <si>
    <t>Year Resale Value</t>
  </si>
  <si>
    <t>Retention Value</t>
  </si>
  <si>
    <t>HP Level</t>
  </si>
  <si>
    <t>Vehicle_type</t>
  </si>
  <si>
    <t>Fuel Efficiency</t>
  </si>
  <si>
    <t>Acura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</si>
  <si>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</si>
  <si>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</si>
  <si>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</si>
  <si>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</si>
  <si>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</si>
  <si>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</si>
  <si>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</si>
  <si>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</si>
  <si>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</si>
  <si>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</si>
  <si>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</si>
  <si>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</si>
  <si>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</si>
  <si>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</si>
  <si>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</si>
  <si>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</si>
  <si>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</si>
  <si>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</si>
  <si>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</si>
  <si>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</si>
  <si>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</si>
  <si>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</si>
  <si>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</si>
  <si>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</si>
  <si>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</si>
  <si>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</si>
  <si>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</si>
  <si>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</si>
  <si>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</si>
  <si>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</si>
  <si>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</si>
  <si>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</si>
  <si>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</si>
  <si>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</si>
  <si>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SECTION 5 — Visualization Tools</t>
  </si>
  <si>
    <t xml:space="preserve">GitHub Data Source: </t>
  </si>
  <si>
    <t>SECTION 6 — Visualizations &amp; Stories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</si>
  <si>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</si>
  <si>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</si>
  <si>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</si>
  <si>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</si>
  <si>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</si>
  <si>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</si>
  <si>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</si>
  <si>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</si>
  <si>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</si>
  <si>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</si>
  <si>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</si>
  <si>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</si>
  <si>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</si>
  <si>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</si>
  <si>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</si>
  <si>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</si>
  <si>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</si>
  <si>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</si>
  <si>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</si>
  <si>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</si>
  <si>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</si>
  <si>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</si>
  <si>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</si>
  <si>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</si>
  <si>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</si>
  <si>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</si>
  <si>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</si>
  <si>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</si>
  <si>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</si>
  <si>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</si>
  <si>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</si>
  <si>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</si>
  <si>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</si>
  <si>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</si>
  <si>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</si>
  <si>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</si>
  <si>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</si>
  <si>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</si>
  <si>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</si>
  <si>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</si>
  <si>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</si>
  <si>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</si>
  <si>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</si>
  <si>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</si>
  <si>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</si>
  <si>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</si>
  <si>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</si>
  <si>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</si>
  <si>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</si>
  <si>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</si>
  <si>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</si>
  <si>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</si>
  <si>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</si>
  <si>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</si>
  <si>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</si>
  <si>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</si>
  <si>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</si>
  <si>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</si>
  <si>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</si>
  <si>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</si>
  <si>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</si>
  <si>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</si>
  <si>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</si>
  <si>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</si>
  <si>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</si>
  <si>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</si>
  <si>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</si>
  <si>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</si>
  <si>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</si>
  <si>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</si>
  <si>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</si>
  <si>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</si>
  <si>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</si>
  <si>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</si>
  <si>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</si>
  <si>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</si>
  <si>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</si>
  <si>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</si>
  <si>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</si>
  <si>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</si>
  <si>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</si>
  <si>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</si>
  <si>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</si>
  <si>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</si>
  <si>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</si>
  <si>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</si>
  <si>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</si>
  <si>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</si>
  <si>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</si>
  <si>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</si>
  <si>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</si>
  <si>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</si>
  <si>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</si>
  <si>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</si>
  <si>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</si>
  <si>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</si>
  <si>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</si>
  <si>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</si>
  <si>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</si>
  <si>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</si>
  <si>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</si>
  <si>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</si>
  <si>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</si>
  <si>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</si>
  <si>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</si>
  <si>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</si>
  <si>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</si>
  <si>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</si>
  <si>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</si>
  <si>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</si>
  <si>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</si>
  <si>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</si>
  <si>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</si>
  <si>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</si>
  <si>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</si>
  <si>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</si>
  <si>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</si>
  <si>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</si>
  <si>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</si>
  <si>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</si>
  <si>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</si>
  <si>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</si>
  <si>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</si>
  <si>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</si>
  <si>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</si>
  <si>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</si>
  <si>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</si>
  <si>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</si>
  <si>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</si>
  <si>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</si>
  <si>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</si>
  <si>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</si>
  <si>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</si>
  <si>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</si>
  <si>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</si>
  <si>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</si>
  <si>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</si>
  <si>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</si>
  <si>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</si>
  <si>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</si>
  <si>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</si>
  <si>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</si>
  <si>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</si>
  <si>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</si>
  <si>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</si>
  <si>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</si>
  <si>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</si>
  <si>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</si>
  <si>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</si>
  <si>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</si>
  <si>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</si>
  <si>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GOOD</t>
  </si>
  <si>
    <t>Medium HP</t>
  </si>
  <si>
    <t>POOR</t>
  </si>
  <si>
    <t>High HP</t>
  </si>
  <si>
    <t>Low HP</t>
  </si>
  <si>
    <t>Row Labels</t>
  </si>
  <si>
    <t>Sum of Unit Sales</t>
  </si>
  <si>
    <t>Goal 1:  Total Unit Sales by Manufacturer</t>
  </si>
  <si>
    <t xml:space="preserve">Prepared by Abdellah Boudlal </t>
  </si>
  <si>
    <t>Goal 2:  Average Price by Vehicle Type</t>
  </si>
  <si>
    <t>Prepared by Abdellah Boudlal</t>
  </si>
  <si>
    <t>Average of Price</t>
  </si>
  <si>
    <t>Goal 3: Fuel Efficiency by HP Level</t>
  </si>
  <si>
    <t>Average of Fuel Efficiency</t>
  </si>
  <si>
    <t>Goal 4: Most Expensive Models</t>
  </si>
  <si>
    <t>Max of Price</t>
  </si>
  <si>
    <t>Goal 5: Highest Resale Value</t>
  </si>
  <si>
    <t>Max of Year Resale Value</t>
  </si>
  <si>
    <t>GOAL 6 — Retention Distribution</t>
  </si>
  <si>
    <t>Count of Model</t>
  </si>
  <si>
    <t>For this project, Microsoft Excel was selected as the primary data visualization and analysis tool.</t>
  </si>
  <si>
    <t>Excel was chosen due to its strong capabilities in data aggregation, pivot table analysis, and chart visualization.</t>
  </si>
  <si>
    <t>It provides an efficient environment to clean, transform, and analyze structured datasets such as automotive sales data.</t>
  </si>
  <si>
    <t>Several Excel features were utilized throughout the project, including:</t>
  </si>
  <si>
    <t xml:space="preserve"> -  Pivot Tables for data aggregation and grouping</t>
  </si>
  <si>
    <t xml:space="preserve"> -  Calculated averages and maximum values</t>
  </si>
  <si>
    <t xml:space="preserve"> -  Sorting and Top N filtering</t>
  </si>
  <si>
    <t xml:space="preserve"> -  Classification grouping (Retention categories, HP levels)</t>
  </si>
  <si>
    <t xml:space="preserve"> -  Data formatting (currency, percentages)</t>
  </si>
  <si>
    <t xml:space="preserve"> -  Chart creation and customization</t>
  </si>
  <si>
    <t>Multiple chart types were created to match the analytical goals, including:</t>
  </si>
  <si>
    <t xml:space="preserve"> -  Bar charts</t>
  </si>
  <si>
    <t xml:space="preserve"> -  Column charts</t>
  </si>
  <si>
    <t xml:space="preserve"> -  Pie charts</t>
  </si>
  <si>
    <t>Excel was particularly effective for comparing manufacturer sales performance, analyzing pricing structures, and evaluating resale value retention.</t>
  </si>
  <si>
    <t>All visualizations and dashboards were created and organized within a single Excel workbook to ensure consistency and clarity.</t>
  </si>
  <si>
    <t>Automotive Data Analysis Project</t>
  </si>
  <si>
    <r>
      <t xml:space="preserve">By </t>
    </r>
    <r>
      <rPr>
        <i/>
        <sz val="11"/>
        <color theme="1"/>
        <rFont val="Calibri"/>
        <family val="2"/>
        <scheme val="minor"/>
      </rPr>
      <t>Abdellah Boudlal</t>
    </r>
  </si>
  <si>
    <r>
      <t xml:space="preserve">Course: </t>
    </r>
    <r>
      <rPr>
        <i/>
        <sz val="11"/>
        <color theme="1"/>
        <rFont val="Calibri"/>
        <family val="2"/>
        <scheme val="minor"/>
      </rPr>
      <t>44-413, 613 Data Visualization</t>
    </r>
  </si>
  <si>
    <r>
      <t xml:space="preserve">Date: </t>
    </r>
    <r>
      <rPr>
        <i/>
        <sz val="11"/>
        <color theme="1"/>
        <rFont val="Calibri"/>
        <family val="2"/>
        <scheme val="minor"/>
      </rPr>
      <t>February 2026</t>
    </r>
  </si>
  <si>
    <t>The cleaned dataset contains 155 rows and 12 attributes ready for visualization.</t>
  </si>
  <si>
    <t>Although the dataset was already structured, several cleaning and preparation steps were applied to improve clarity and focus on the project goals.</t>
  </si>
  <si>
    <t>The following columns were removed because they were not relevant to the selected business objectives:</t>
  </si>
  <si>
    <t xml:space="preserve"> -  Power Performance Factor</t>
  </si>
  <si>
    <t xml:space="preserve"> -  Wheelbase</t>
  </si>
  <si>
    <t xml:space="preserve"> -  Width</t>
  </si>
  <si>
    <t xml:space="preserve"> -  Length</t>
  </si>
  <si>
    <t xml:space="preserve"> -  Curb Weight</t>
  </si>
  <si>
    <t xml:space="preserve"> -  Fuel Capacity</t>
  </si>
  <si>
    <t xml:space="preserve"> -  Latest Launch</t>
  </si>
  <si>
    <t>These attributes were more technical specifications and were not necessary for sales, pricing, fuel efficiency, or retention analysis.</t>
  </si>
  <si>
    <t>Additionally:</t>
  </si>
  <si>
    <t xml:space="preserve"> -  Currency fields (Price, Year Resale Value) were formatted properly.</t>
  </si>
  <si>
    <t xml:space="preserve"> -  Retention percentages were standardized.</t>
  </si>
  <si>
    <t xml:space="preserve"> -  Horsepower was grouped into categories (Low, Medium, High).</t>
  </si>
  <si>
    <t xml:space="preserve"> -  Retention was classified as GOOD or POOR.</t>
  </si>
  <si>
    <t>These steps ensured a focused and efficient dataset for pivot table analysis and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</si>
</sst>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pivotButton="1"/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/>
    <xf numFmtId="0" fontId="5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8" fillId="0" borderId="0" xfId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  <xf numFmtId="0" fontId="9" fillId="4" borderId="3" xfId="0" applyFont="1" applyFill="1" applyBorder="1"/>
    <xf numFmtId="0" fontId="9" fillId="4" borderId="4" xfId="0" applyFont="1" applyFill="1" applyBorder="1"/>
    <xf numFmtId="0" fontId="9" fillId="4" borderId="5" xfId="0" applyFont="1" applyFill="1" applyBorder="1"/>
    <xf numFmtId="0" fontId="0" fillId="3" borderId="5" xfId="0" applyFill="1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"/>
    </dxf>
    <dxf>
      <numFmt numFmtId="165" formatCode="&quot;$&quot;#,##0"/>
    </dxf>
    <dxf>
      <numFmt numFmtId="1" formatCode="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1 — Sales by Manufacturer!PivotTable1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baseline="0"/>
              <a:t>Total Unit Sales by Manufacturer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'Goal 1 — Sales by Manufacturer'!$B$12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 1 — Sales by Manufacturer'!$A$13:$A$43</c:f>
              <c:strCache>
                <c:ptCount val="30"/>
                <c:pt idx="0">
                  <c:v>Ford</c:v>
                </c:pt>
                <c:pt idx="1">
                  <c:v>Dodge</c:v>
                </c:pt>
                <c:pt idx="2">
                  <c:v>Toyota</c:v>
                </c:pt>
                <c:pt idx="3">
                  <c:v>Honda</c:v>
                </c:pt>
                <c:pt idx="4">
                  <c:v>Chevrolet</c:v>
                </c:pt>
                <c:pt idx="5">
                  <c:v>Nissan</c:v>
                </c:pt>
                <c:pt idx="6">
                  <c:v>Pontiac</c:v>
                </c:pt>
                <c:pt idx="7">
                  <c:v>Jeep</c:v>
                </c:pt>
                <c:pt idx="8">
                  <c:v>Buick</c:v>
                </c:pt>
                <c:pt idx="9">
                  <c:v>Mercury</c:v>
                </c:pt>
                <c:pt idx="10">
                  <c:v>Volkswagen</c:v>
                </c:pt>
                <c:pt idx="11">
                  <c:v>Mitsubishi</c:v>
                </c:pt>
                <c:pt idx="12">
                  <c:v>Oldsmobile</c:v>
                </c:pt>
                <c:pt idx="13">
                  <c:v>Saturn</c:v>
                </c:pt>
                <c:pt idx="14">
                  <c:v>Chrysler</c:v>
                </c:pt>
                <c:pt idx="15">
                  <c:v>Hyundai</c:v>
                </c:pt>
                <c:pt idx="16">
                  <c:v>Mercedes-B</c:v>
                </c:pt>
                <c:pt idx="17">
                  <c:v>Cadillac</c:v>
                </c:pt>
                <c:pt idx="18">
                  <c:v>Lexus</c:v>
                </c:pt>
                <c:pt idx="19">
                  <c:v>Lincoln</c:v>
                </c:pt>
                <c:pt idx="20">
                  <c:v>Subaru</c:v>
                </c:pt>
                <c:pt idx="21">
                  <c:v>Volvo</c:v>
                </c:pt>
                <c:pt idx="22">
                  <c:v>Acura</c:v>
                </c:pt>
                <c:pt idx="23">
                  <c:v>Plymouth</c:v>
                </c:pt>
                <c:pt idx="24">
                  <c:v>BMW</c:v>
                </c:pt>
                <c:pt idx="25">
                  <c:v>Audi</c:v>
                </c:pt>
                <c:pt idx="26">
                  <c:v>Infiniti</c:v>
                </c:pt>
                <c:pt idx="27">
                  <c:v>Saab</c:v>
                </c:pt>
                <c:pt idx="28">
                  <c:v>Jaguar</c:v>
                </c:pt>
                <c:pt idx="29">
                  <c:v>Porsche</c:v>
                </c:pt>
              </c:strCache>
            </c:strRef>
          </c:cat>
          <c:val>
            <c:numRef>
              <c:f>'Goal 1 — Sales by Manufacturer'!$B$13:$B$43</c:f>
              <c:numCache>
                <c:formatCode>General</c:formatCode>
                <c:ptCount val="30"/>
                <c:pt idx="0">
                  <c:v>2022635</c:v>
                </c:pt>
                <c:pt idx="1">
                  <c:v>910149</c:v>
                </c:pt>
                <c:pt idx="2">
                  <c:v>740205</c:v>
                </c:pt>
                <c:pt idx="3">
                  <c:v>592674</c:v>
                </c:pt>
                <c:pt idx="4">
                  <c:v>554365</c:v>
                </c:pt>
                <c:pt idx="5">
                  <c:v>399635</c:v>
                </c:pt>
                <c:pt idx="6">
                  <c:v>370534</c:v>
                </c:pt>
                <c:pt idx="7">
                  <c:v>293153</c:v>
                </c:pt>
                <c:pt idx="8">
                  <c:v>242019</c:v>
                </c:pt>
                <c:pt idx="9">
                  <c:v>237999</c:v>
                </c:pt>
                <c:pt idx="10">
                  <c:v>209212</c:v>
                </c:pt>
                <c:pt idx="11">
                  <c:v>180895</c:v>
                </c:pt>
                <c:pt idx="12">
                  <c:v>178989</c:v>
                </c:pt>
                <c:pt idx="13">
                  <c:v>168850</c:v>
                </c:pt>
                <c:pt idx="14">
                  <c:v>148241</c:v>
                </c:pt>
                <c:pt idx="15">
                  <c:v>137326</c:v>
                </c:pt>
                <c:pt idx="16">
                  <c:v>117125</c:v>
                </c:pt>
                <c:pt idx="17">
                  <c:v>112178</c:v>
                </c:pt>
                <c:pt idx="18">
                  <c:v>106843</c:v>
                </c:pt>
                <c:pt idx="19">
                  <c:v>85634</c:v>
                </c:pt>
                <c:pt idx="20">
                  <c:v>80135</c:v>
                </c:pt>
                <c:pt idx="21">
                  <c:v>75740</c:v>
                </c:pt>
                <c:pt idx="22">
                  <c:v>64891</c:v>
                </c:pt>
                <c:pt idx="23">
                  <c:v>64001</c:v>
                </c:pt>
                <c:pt idx="24">
                  <c:v>46505</c:v>
                </c:pt>
                <c:pt idx="25">
                  <c:v>40557</c:v>
                </c:pt>
                <c:pt idx="26">
                  <c:v>23713</c:v>
                </c:pt>
                <c:pt idx="27">
                  <c:v>21306</c:v>
                </c:pt>
                <c:pt idx="28">
                  <c:v>15467</c:v>
                </c:pt>
                <c:pt idx="29">
                  <c:v>12128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2-47AD-8BD8-FA30C1350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12427616"/>
        <c:axId val="1812437696"/>
      </c:barChart>
      <c:catAx>
        <c:axId val="1812427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Manufacturer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37696"/>
        <c:crosses val="autoZero"/>
        <c:auto val="1"/>
        <c:lblAlgn val="ctr"/>
        <c:lblOffset val="100"/>
        <c:noMultiLvlLbl val="0"/>
      </c:catAx>
      <c:valAx>
        <c:axId val="181243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Unit Sales (SUM)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2 — Average Price by Vehic!PivotTable1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Price by Vehicle Type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 2 — Average Price by Vehic'!$B$7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 2 — Average Price by Vehic'!$A$8:$A$10</c:f>
              <c:strCache>
                <c:ptCount val="2"/>
                <c:pt idx="0">
                  <c:v>Car</c:v>
                </c:pt>
                <c:pt idx="1">
                  <c:v>Passenger</c:v>
                </c:pt>
              </c:strCache>
            </c:strRef>
          </c:cat>
          <c:val>
            <c:numRef>
              <c:f>'Goal 2 — Average Price by Vehic'!$B$8:$B$10</c:f>
              <c:numCache>
                <c:formatCode>"$"#,##0.00</c:formatCode>
                <c:ptCount val="2"/>
                <c:pt idx="0">
                  <c:v>26319.974999999999</c:v>
                </c:pt>
                <c:pt idx="1">
                  <c:v>27850.156521739129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8-47AD-B46E-3C2E6B2EC1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454895"/>
        <c:axId val="1830455375"/>
      </c:barChart>
      <c:catAx>
        <c:axId val="1830454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Vehicle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5375"/>
        <c:crosses val="autoZero"/>
        <c:auto val="1"/>
        <c:lblAlgn val="ctr"/>
        <c:lblOffset val="100"/>
        <c:noMultiLvlLbl val="0"/>
      </c:catAx>
      <c:valAx>
        <c:axId val="183045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of Price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5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3 — Fuel Efficiency by HP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Fuel Efficiency by Horsepower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solidFill>
                <a:schemeClr val="accent1">
                  <a:shade val="1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865779256794232E-2"/>
              <c:y val="-4.6392948271862716E-2"/>
            </c:manualLayout>
          </c:layout>
          <c:spPr>
            <a:noFill/>
            <a:ln>
              <a:solidFill>
                <a:schemeClr val="accent1">
                  <a:shade val="1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3865779256794181E-2"/>
              <c:y val="-8.3507306889352817E-2"/>
            </c:manualLayout>
          </c:layout>
          <c:spPr>
            <a:noFill/>
            <a:ln>
              <a:solidFill>
                <a:schemeClr val="accent1">
                  <a:shade val="1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4958402662229592E-2"/>
              <c:y val="-8.3507306889352859E-2"/>
            </c:manualLayout>
          </c:layout>
          <c:spPr>
            <a:noFill/>
            <a:ln>
              <a:solidFill>
                <a:schemeClr val="accent1">
                  <a:shade val="1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'Goal 3 — Fuel Efficiency by HP 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E8DE-4EB5-995C-B55DB41311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8DE-4EB5-995C-B55DB41311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E8DE-4EB5-995C-B55DB41311D5}"/>
              </c:ext>
            </c:extLst>
          </c:dPt>
          <c:dLbls>
            <c:dLbl>
              <c:idx val="0"/>
              <c:layout>
                <c:manualLayout>
                  <c:x val="2.4958402662229592E-2"/>
                  <c:y val="-8.3507306889352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DE-4EB5-995C-B55DB41311D5}"/>
                </c:ext>
              </c:extLst>
            </c:dLbl>
            <c:dLbl>
              <c:idx val="1"/>
              <c:layout>
                <c:manualLayout>
                  <c:x val="1.3865779256794232E-2"/>
                  <c:y val="-4.63929482718627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DE-4EB5-995C-B55DB41311D5}"/>
                </c:ext>
              </c:extLst>
            </c:dLbl>
            <c:dLbl>
              <c:idx val="2"/>
              <c:layout>
                <c:manualLayout>
                  <c:x val="1.3865779256794181E-2"/>
                  <c:y val="-8.3507306889352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DE-4EB5-995C-B55DB41311D5}"/>
                </c:ext>
              </c:extLst>
            </c:dLbl>
            <c:spPr>
              <a:noFill/>
              <a:ln>
                <a:solidFill>
                  <a:schemeClr val="accent1">
                    <a:shade val="1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 3 — Fuel Efficiency by HP '!$A$8:$A$11</c:f>
              <c:strCache>
                <c:ptCount val="3"/>
                <c:pt idx="0">
                  <c:v>High HP</c:v>
                </c:pt>
                <c:pt idx="1">
                  <c:v>Medium HP</c:v>
                </c:pt>
                <c:pt idx="2">
                  <c:v>Low HP</c:v>
                </c:pt>
              </c:strCache>
            </c:strRef>
          </c:cat>
          <c:val>
            <c:numRef>
              <c:f>'Goal 3 — Fuel Efficiency by HP '!$B$8:$B$11</c:f>
              <c:numCache>
                <c:formatCode>0</c:formatCode>
                <c:ptCount val="3"/>
                <c:pt idx="0">
                  <c:v>19.888888888888889</c:v>
                </c:pt>
                <c:pt idx="1">
                  <c:v>23.861111111111111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E-4EB5-995C-B55DB41311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17526383"/>
        <c:axId val="1517525903"/>
        <c:axId val="1510821455"/>
      </c:bar3DChart>
      <c:catAx>
        <c:axId val="151752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HP Level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5903"/>
        <c:crosses val="autoZero"/>
        <c:auto val="1"/>
        <c:lblAlgn val="ctr"/>
        <c:lblOffset val="100"/>
        <c:noMultiLvlLbl val="0"/>
      </c:catAx>
      <c:valAx>
        <c:axId val="15175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Fuel Efficiency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6383"/>
        <c:crosses val="autoZero"/>
        <c:crossBetween val="between"/>
      </c:valAx>
      <c:serAx>
        <c:axId val="151082145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2590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4 — Most Expensive Models!PivotTable3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Most Expensive Car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 4 — Most Expensive Models'!$B$7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 4 — Most Expensive Models'!$A$8:$A$18</c:f>
              <c:strCache>
                <c:ptCount val="10"/>
                <c:pt idx="0">
                  <c:v>CL500</c:v>
                </c:pt>
                <c:pt idx="1">
                  <c:v>SL-Class</c:v>
                </c:pt>
                <c:pt idx="2">
                  <c:v>Carrera Cabrio</c:v>
                </c:pt>
                <c:pt idx="3">
                  <c:v>Carrera Coupe</c:v>
                </c:pt>
                <c:pt idx="4">
                  <c:v>Viper</c:v>
                </c:pt>
                <c:pt idx="5">
                  <c:v>S-Class</c:v>
                </c:pt>
                <c:pt idx="6">
                  <c:v>A8</c:v>
                </c:pt>
                <c:pt idx="7">
                  <c:v>LX470</c:v>
                </c:pt>
                <c:pt idx="8">
                  <c:v>Corvette</c:v>
                </c:pt>
                <c:pt idx="9">
                  <c:v>LS400</c:v>
                </c:pt>
              </c:strCache>
            </c:strRef>
          </c:cat>
          <c:val>
            <c:numRef>
              <c:f>'Goal 4 — Most Expensive Models'!$B$8:$B$18</c:f>
              <c:numCache>
                <c:formatCode>General</c:formatCode>
                <c:ptCount val="10"/>
                <c:pt idx="0">
                  <c:v>85500</c:v>
                </c:pt>
                <c:pt idx="1">
                  <c:v>82600</c:v>
                </c:pt>
                <c:pt idx="2">
                  <c:v>74970</c:v>
                </c:pt>
                <c:pt idx="3">
                  <c:v>71020</c:v>
                </c:pt>
                <c:pt idx="4">
                  <c:v>69725</c:v>
                </c:pt>
                <c:pt idx="5">
                  <c:v>69700</c:v>
                </c:pt>
                <c:pt idx="6">
                  <c:v>62000</c:v>
                </c:pt>
                <c:pt idx="7">
                  <c:v>60105</c:v>
                </c:pt>
                <c:pt idx="8">
                  <c:v>55705</c:v>
                </c:pt>
                <c:pt idx="9">
                  <c:v>54005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A-4426-8A08-6A4BC06E2B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0410479"/>
        <c:axId val="1830409999"/>
      </c:barChart>
      <c:catAx>
        <c:axId val="183041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Model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09999"/>
        <c:crosses val="autoZero"/>
        <c:auto val="1"/>
        <c:lblAlgn val="ctr"/>
        <c:lblOffset val="100"/>
        <c:noMultiLvlLbl val="0"/>
      </c:catAx>
      <c:valAx>
        <c:axId val="183040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Price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41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5 — Highest Resale Value M!PivotTable4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Highest Resale Value by Model ($)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 5 — Highest Resale Value M'!$B$7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'Goal 5 — Highest Resale Value M'!$A$8:$A$18</c:f>
              <c:strCache>
                <c:ptCount val="10"/>
                <c:pt idx="0">
                  <c:v>Carrera Cabrio</c:v>
                </c:pt>
                <c:pt idx="1">
                  <c:v>CL500</c:v>
                </c:pt>
                <c:pt idx="2">
                  <c:v>Carrera Coupe</c:v>
                </c:pt>
                <c:pt idx="3">
                  <c:v>SL-Class</c:v>
                </c:pt>
                <c:pt idx="4">
                  <c:v>Viper</c:v>
                </c:pt>
                <c:pt idx="5">
                  <c:v>S-Class</c:v>
                </c:pt>
                <c:pt idx="6">
                  <c:v>LX470</c:v>
                </c:pt>
                <c:pt idx="7">
                  <c:v>E-Class</c:v>
                </c:pt>
                <c:pt idx="8">
                  <c:v>Boxter</c:v>
                </c:pt>
                <c:pt idx="9">
                  <c:v>LS400</c:v>
                </c:pt>
              </c:strCache>
            </c:strRef>
          </c:cat>
          <c:val>
            <c:numRef>
              <c:f>'Goal 5 — Highest Resale Value M'!$B$8:$B$18</c:f>
              <c:numCache>
                <c:formatCode>"$"#,##0</c:formatCode>
                <c:ptCount val="10"/>
                <c:pt idx="0">
                  <c:v>67550</c:v>
                </c:pt>
                <c:pt idx="1">
                  <c:v>63423</c:v>
                </c:pt>
                <c:pt idx="2">
                  <c:v>60625</c:v>
                </c:pt>
                <c:pt idx="3">
                  <c:v>58600</c:v>
                </c:pt>
                <c:pt idx="4">
                  <c:v>58470</c:v>
                </c:pt>
                <c:pt idx="5">
                  <c:v>50375</c:v>
                </c:pt>
                <c:pt idx="6">
                  <c:v>43870</c:v>
                </c:pt>
                <c:pt idx="7">
                  <c:v>41450</c:v>
                </c:pt>
                <c:pt idx="8">
                  <c:v>41250</c:v>
                </c:pt>
                <c:pt idx="9">
                  <c:v>40375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E-45D3-9364-E60292E7F3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8173279"/>
        <c:axId val="1178173759"/>
      </c:barChart>
      <c:catAx>
        <c:axId val="117817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Model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73759"/>
        <c:crosses val="autoZero"/>
        <c:auto val="1"/>
        <c:lblAlgn val="ctr"/>
        <c:lblOffset val="100"/>
        <c:noMultiLvlLbl val="0"/>
      </c:catAx>
      <c:valAx>
        <c:axId val="11781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Year Resale Value (MAX)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[p7.xlsx]Goal 6 — Retention Classificati!PivotTable6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Retention Classification Distribution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'Goal 6 — Retention Classificati'!$B$6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0-4A03-9D76-D10362AABC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0-4A03-9D76-D10362AABCC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'Goal 6 — Retention Classificati'!$A$7:$A$9</c:f>
              <c:strCache>
                <c:ptCount val="2"/>
                <c:pt idx="0">
                  <c:v>GOOD</c:v>
                </c:pt>
                <c:pt idx="1">
                  <c:v>POOR</c:v>
                </c:pt>
              </c:strCache>
            </c:strRef>
          </c:cat>
          <c:val>
            <c:numRef>
              <c:f>'Goal 6 — Retention Classificati'!$B$7:$B$9</c:f>
              <c:numCache>
                <c:formatCode>General</c:formatCode>
                <c:ptCount val="2"/>
                <c:pt idx="0">
                  <c:v>71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1-4A71-8314-D557B634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215265</xdr:colOff>
      <xdr:row>45</xdr:row>
      <xdr:rowOff>134197</xdr:rowOff>
    </xdr:from>
    <xdr:to>
      <xdr:col>16</xdr:col>
      <xdr:colOff>33617</xdr:colOff>
      <xdr:row>72</xdr:row>
      <xdr:rowOff>134471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923B24-91A1-D9FC-ED43-E23DE8A5A15B}"/>
            </a:ext>
          </a:extLst>
        </xdr:cNvPr>
        <xdr:cNvSpPr/>
      </xdr:nvSpPr>
      <xdr:spPr>
        <a:xfrm>
          <a:off x="215265" y="8202432"/>
          <a:ext cx="8603764" cy="48412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ysClr val="windowText" lastClr="000000"/>
              </a:solidFill>
            </a:rPr>
            <a:t>Goal</a:t>
          </a:r>
        </a:p>
        <a:p>
          <a:r>
            <a:rPr lang="en-US" sz="1600">
              <a:solidFill>
                <a:sysClr val="windowText" lastClr="000000"/>
              </a:solidFill>
            </a:rPr>
            <a:t>Identify which manufacturer generates the highest total unit sales.</a:t>
          </a:r>
        </a:p>
        <a:p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Chart</a:t>
          </a:r>
        </a:p>
        <a:p>
          <a:r>
            <a:rPr lang="en-US" sz="1600">
              <a:solidFill>
                <a:sysClr val="windowText" lastClr="000000"/>
              </a:solidFill>
            </a:rPr>
            <a:t>Bar Chart displaying total unit sales aggregated by manufacturer.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r>
            <a:rPr lang="en-US" sz="1600" b="1">
              <a:solidFill>
                <a:sysClr val="windowText" lastClr="000000"/>
              </a:solidFill>
            </a:rPr>
            <a:t>Story / Analysis</a:t>
          </a:r>
        </a:p>
        <a:p>
          <a:r>
            <a:rPr lang="en-US" sz="1600">
              <a:solidFill>
                <a:sysClr val="windowText" lastClr="000000"/>
              </a:solidFill>
            </a:rPr>
            <a:t>This visualization presents the total unit sales for each car manufacturer included in the dataset.</a:t>
          </a:r>
        </a:p>
        <a:p>
          <a:r>
            <a:rPr lang="en-US" sz="1600">
              <a:solidFill>
                <a:sysClr val="windowText" lastClr="000000"/>
              </a:solidFill>
            </a:rPr>
            <a:t>The analysis reveals that </a:t>
          </a:r>
          <a:r>
            <a:rPr lang="en-US" sz="1600" b="1">
              <a:solidFill>
                <a:sysClr val="windowText" lastClr="000000"/>
              </a:solidFill>
            </a:rPr>
            <a:t>Ford</a:t>
          </a:r>
          <a:r>
            <a:rPr lang="en-US" sz="1600">
              <a:solidFill>
                <a:sysClr val="windowText" lastClr="000000"/>
              </a:solidFill>
            </a:rPr>
            <a:t> has the highest total unit sales, significantly exceeding all other manufacturers. This indicates strong brand demand and a dominant market presence.</a:t>
          </a:r>
        </a:p>
        <a:p>
          <a:r>
            <a:rPr lang="en-US" sz="1600" b="1">
              <a:solidFill>
                <a:sysClr val="windowText" lastClr="000000"/>
              </a:solidFill>
            </a:rPr>
            <a:t>Dodge</a:t>
          </a:r>
          <a:r>
            <a:rPr lang="en-US" sz="1600">
              <a:solidFill>
                <a:sysClr val="windowText" lastClr="000000"/>
              </a:solidFill>
            </a:rPr>
            <a:t> and </a:t>
          </a:r>
          <a:r>
            <a:rPr lang="en-US" sz="1600" b="1">
              <a:solidFill>
                <a:sysClr val="windowText" lastClr="000000"/>
              </a:solidFill>
            </a:rPr>
            <a:t>Toyota</a:t>
          </a:r>
          <a:r>
            <a:rPr lang="en-US" sz="1600">
              <a:solidFill>
                <a:sysClr val="windowText" lastClr="000000"/>
              </a:solidFill>
            </a:rPr>
            <a:t> also rank among the top manufacturers in sales volume, showing consistent performance and wide consumer reach.</a:t>
          </a:r>
        </a:p>
        <a:p>
          <a:r>
            <a:rPr lang="en-US" sz="1600">
              <a:solidFill>
                <a:sysClr val="windowText" lastClr="000000"/>
              </a:solidFill>
            </a:rPr>
            <a:t>On the other hand, luxury manufacturers such as </a:t>
          </a:r>
          <a:r>
            <a:rPr lang="en-US" sz="1600" b="1">
              <a:solidFill>
                <a:sysClr val="windowText" lastClr="000000"/>
              </a:solidFill>
            </a:rPr>
            <a:t>Porsche</a:t>
          </a:r>
          <a:r>
            <a:rPr lang="en-US" sz="1600">
              <a:solidFill>
                <a:sysClr val="windowText" lastClr="000000"/>
              </a:solidFill>
            </a:rPr>
            <a:t> and </a:t>
          </a:r>
          <a:r>
            <a:rPr lang="en-US" sz="1600" b="1">
              <a:solidFill>
                <a:sysClr val="windowText" lastClr="000000"/>
              </a:solidFill>
            </a:rPr>
            <a:t>Jaguar</a:t>
          </a:r>
          <a:r>
            <a:rPr lang="en-US" sz="1600">
              <a:solidFill>
                <a:sysClr val="windowText" lastClr="000000"/>
              </a:solidFill>
            </a:rPr>
            <a:t> record much lower unit sales. This difference is expected because luxury vehicles are sold in smaller quantities due to higher pricing and niche market targeting.</a:t>
          </a:r>
        </a:p>
      </xdr:txBody>
    </xdr:sp>
    <xdr:clientData/>
  </xdr:twoCellAnchor>
  <xdr:twoCellAnchor>
    <xdr:from>
      <xdr:col>3</xdr:col>
      <xdr:colOff>76199</xdr:colOff>
      <xdr:row>6</xdr:row>
      <xdr:rowOff>19050</xdr:rowOff>
    </xdr:from>
    <xdr:to>
      <xdr:col>16</xdr:col>
      <xdr:colOff>72390</xdr:colOff>
      <xdr:row>43</xdr:row>
      <xdr:rowOff>64769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7941C-2948-5B61-F153-4C8F2872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17</xdr:row>
      <xdr:rowOff>182879</xdr:rowOff>
    </xdr:from>
    <xdr:to>
      <xdr:col>8</xdr:col>
      <xdr:colOff>55245</xdr:colOff>
      <xdr:row>43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E09130-D938-45B2-B8A0-62A536412F01}"/>
            </a:ext>
          </a:extLst>
        </xdr:cNvPr>
        <xdr:cNvSpPr/>
      </xdr:nvSpPr>
      <xdr:spPr>
        <a:xfrm>
          <a:off x="55245" y="3735704"/>
          <a:ext cx="7210425" cy="49129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>
              <a:solidFill>
                <a:sysClr val="windowText" lastClr="000000"/>
              </a:solidFill>
            </a:rPr>
            <a:t>Goal</a:t>
          </a:r>
        </a:p>
        <a:p>
          <a:r>
            <a:rPr lang="en-US" sz="1400">
              <a:solidFill>
                <a:sysClr val="windowText" lastClr="000000"/>
              </a:solidFill>
            </a:rPr>
            <a:t>Compare the average vehicle price between Passenger vehicles and Cars.</a:t>
          </a:r>
        </a:p>
        <a:p>
          <a:br>
            <a:rPr lang="en-US" sz="1400">
              <a:solidFill>
                <a:sysClr val="windowText" lastClr="000000"/>
              </a:solidFill>
            </a:rPr>
          </a:br>
          <a:endParaRPr lang="en-US" sz="1400">
            <a:solidFill>
              <a:sysClr val="windowText" lastClr="000000"/>
            </a:solidFill>
          </a:endParaRPr>
        </a:p>
        <a:p>
          <a:r>
            <a:rPr lang="en-US" sz="1400" b="1">
              <a:solidFill>
                <a:sysClr val="windowText" lastClr="000000"/>
              </a:solidFill>
            </a:rPr>
            <a:t>Chart</a:t>
          </a:r>
        </a:p>
        <a:p>
          <a:r>
            <a:rPr lang="en-US" sz="1400">
              <a:solidFill>
                <a:sysClr val="windowText" lastClr="000000"/>
              </a:solidFill>
            </a:rPr>
            <a:t>Column chart displaying the average price by vehicle type.</a:t>
          </a:r>
        </a:p>
        <a:p>
          <a:br>
            <a:rPr lang="en-US" sz="1400">
              <a:solidFill>
                <a:sysClr val="windowText" lastClr="000000"/>
              </a:solidFill>
            </a:rPr>
          </a:br>
          <a:endParaRPr lang="en-US" sz="1400">
            <a:solidFill>
              <a:sysClr val="windowText" lastClr="000000"/>
            </a:solidFill>
          </a:endParaRPr>
        </a:p>
        <a:p>
          <a:r>
            <a:rPr lang="en-US" sz="1400" b="1">
              <a:solidFill>
                <a:sysClr val="windowText" lastClr="000000"/>
              </a:solidFill>
            </a:rPr>
            <a:t>Story / Analysis </a:t>
          </a:r>
        </a:p>
        <a:p>
          <a:r>
            <a:rPr lang="en-US" sz="1400">
              <a:solidFill>
                <a:sysClr val="windowText" lastClr="000000"/>
              </a:solidFill>
            </a:rPr>
            <a:t>This visualization compares the average selling price between Passenger vehicles and Cars.</a:t>
          </a:r>
        </a:p>
        <a:p>
          <a:r>
            <a:rPr lang="en-US" sz="1400">
              <a:solidFill>
                <a:sysClr val="windowText" lastClr="000000"/>
              </a:solidFill>
            </a:rPr>
            <a:t>The analysis shows that </a:t>
          </a:r>
          <a:r>
            <a:rPr lang="en-US" sz="1400" b="1">
              <a:solidFill>
                <a:sysClr val="windowText" lastClr="000000"/>
              </a:solidFill>
            </a:rPr>
            <a:t>Passenger vehicles have a slightly higher average price ($27,850)</a:t>
          </a:r>
          <a:r>
            <a:rPr lang="en-US" sz="1400">
              <a:solidFill>
                <a:sysClr val="windowText" lastClr="000000"/>
              </a:solidFill>
            </a:rPr>
            <a:t> compared to Cars ($26,319).</a:t>
          </a:r>
        </a:p>
        <a:p>
          <a:r>
            <a:rPr lang="en-US" sz="1400">
              <a:solidFill>
                <a:sysClr val="windowText" lastClr="000000"/>
              </a:solidFill>
            </a:rPr>
            <a:t>This difference may be explained by the presence of premium sedans and luxury passenger models in the dataset, which increase the overall average price.</a:t>
          </a:r>
        </a:p>
        <a:p>
          <a:r>
            <a:rPr lang="en-US" sz="1400">
              <a:solidFill>
                <a:sysClr val="windowText" lastClr="000000"/>
              </a:solidFill>
            </a:rPr>
            <a:t>Cars such as SUVs and utility vehicles tend to serve broader markets, often balancing price with functionality and affordability.</a:t>
          </a:r>
        </a:p>
        <a:p>
          <a:br>
            <a:rPr lang="en-US" sz="1400">
              <a:solidFill>
                <a:sysClr val="windowText" lastClr="000000"/>
              </a:solidFill>
            </a:rPr>
          </a:br>
          <a:endParaRPr lang="en-US" sz="1400">
            <a:solidFill>
              <a:sysClr val="windowText" lastClr="000000"/>
            </a:solidFill>
          </a:endParaRPr>
        </a:p>
        <a:p>
          <a:r>
            <a:rPr lang="en-US" sz="1400" b="1">
              <a:solidFill>
                <a:sysClr val="windowText" lastClr="000000"/>
              </a:solidFill>
            </a:rPr>
            <a:t>Key Insight </a:t>
          </a:r>
        </a:p>
        <a:p>
          <a:r>
            <a:rPr lang="en-US" sz="1400">
              <a:solidFill>
                <a:sysClr val="windowText" lastClr="000000"/>
              </a:solidFill>
            </a:rPr>
            <a:t>Vehicle type influences pricing structure, with passenger vehicles showing marginally higher average market value.</a:t>
          </a:r>
        </a:p>
        <a:p>
          <a:pPr algn="l"/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220980</xdr:colOff>
      <xdr:row>2</xdr:row>
      <xdr:rowOff>29527</xdr:rowOff>
    </xdr:from>
    <xdr:to>
      <xdr:col>8</xdr:col>
      <xdr:colOff>104775</xdr:colOff>
      <xdr:row>16</xdr:row>
      <xdr:rowOff>48577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BD704-7D49-ADF1-0658-86B96E35B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133209</xdr:colOff>
      <xdr:row>23</xdr:row>
      <xdr:rowOff>26035</xdr:rowOff>
    </xdr:from>
    <xdr:to>
      <xdr:col>19</xdr:col>
      <xdr:colOff>292523</xdr:colOff>
      <xdr:row>47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36157D-47EA-40AE-8390-979019ADB4EA}"/>
            </a:ext>
          </a:extLst>
        </xdr:cNvPr>
        <xdr:cNvSpPr/>
      </xdr:nvSpPr>
      <xdr:spPr>
        <a:xfrm>
          <a:off x="133209" y="4280535"/>
          <a:ext cx="10054731" cy="43872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400" b="1">
              <a:solidFill>
                <a:sysClr val="windowText" lastClr="000000"/>
              </a:solidFill>
            </a:rPr>
            <a:t>Goal</a:t>
          </a:r>
        </a:p>
        <a:p>
          <a:r>
            <a:rPr lang="en-US" sz="1400">
              <a:solidFill>
                <a:sysClr val="windowText" lastClr="000000"/>
              </a:solidFill>
            </a:rPr>
            <a:t>Analyze the relationship between horsepower level and fuel efficiency.</a:t>
          </a:r>
        </a:p>
        <a:p>
          <a:br>
            <a:rPr lang="en-US" sz="1400">
              <a:solidFill>
                <a:sysClr val="windowText" lastClr="000000"/>
              </a:solidFill>
            </a:rPr>
          </a:br>
          <a:endParaRPr lang="en-US" sz="1400">
            <a:solidFill>
              <a:sysClr val="windowText" lastClr="000000"/>
            </a:solidFill>
          </a:endParaRPr>
        </a:p>
        <a:p>
          <a:r>
            <a:rPr lang="en-US" sz="1400" b="1">
              <a:solidFill>
                <a:sysClr val="windowText" lastClr="000000"/>
              </a:solidFill>
            </a:rPr>
            <a:t>Chart</a:t>
          </a:r>
        </a:p>
        <a:p>
          <a:r>
            <a:rPr lang="en-US" sz="1400">
              <a:solidFill>
                <a:sysClr val="windowText" lastClr="000000"/>
              </a:solidFill>
            </a:rPr>
            <a:t>Column chart displaying the average fuel efficiency (MPG) by horsepower level.</a:t>
          </a:r>
        </a:p>
        <a:p>
          <a:br>
            <a:rPr lang="en-US" sz="1400">
              <a:solidFill>
                <a:sysClr val="windowText" lastClr="000000"/>
              </a:solidFill>
            </a:rPr>
          </a:br>
          <a:endParaRPr lang="en-US" sz="1400">
            <a:solidFill>
              <a:sysClr val="windowText" lastClr="000000"/>
            </a:solidFill>
          </a:endParaRPr>
        </a:p>
        <a:p>
          <a:r>
            <a:rPr lang="en-US" sz="1400" b="1">
              <a:solidFill>
                <a:sysClr val="windowText" lastClr="000000"/>
              </a:solidFill>
            </a:rPr>
            <a:t>Story / Analysis</a:t>
          </a:r>
        </a:p>
        <a:p>
          <a:r>
            <a:rPr lang="en-US" sz="1400">
              <a:solidFill>
                <a:sysClr val="windowText" lastClr="000000"/>
              </a:solidFill>
            </a:rPr>
            <a:t>This visualization examines how fuel efficiency varies across different horsepower levels.</a:t>
          </a:r>
        </a:p>
        <a:p>
          <a:r>
            <a:rPr lang="en-US" sz="1400">
              <a:solidFill>
                <a:sysClr val="windowText" lastClr="000000"/>
              </a:solidFill>
            </a:rPr>
            <a:t>The analysis shows that:</a:t>
          </a:r>
        </a:p>
        <a:p>
          <a:r>
            <a:rPr lang="en-US" sz="1400" b="1">
              <a:solidFill>
                <a:sysClr val="windowText" lastClr="000000"/>
              </a:solidFill>
            </a:rPr>
            <a:t>Low HP vehicles</a:t>
          </a:r>
          <a:r>
            <a:rPr lang="en-US" sz="1400">
              <a:solidFill>
                <a:sysClr val="windowText" lastClr="000000"/>
              </a:solidFill>
            </a:rPr>
            <a:t> have the highest fuel efficiency (38 MPG).</a:t>
          </a:r>
        </a:p>
        <a:p>
          <a:r>
            <a:rPr lang="en-US" sz="1400" b="1">
              <a:solidFill>
                <a:sysClr val="windowText" lastClr="000000"/>
              </a:solidFill>
            </a:rPr>
            <a:t>Medium HP vehicles</a:t>
          </a:r>
          <a:r>
            <a:rPr lang="en-US" sz="1400">
              <a:solidFill>
                <a:sysClr val="windowText" lastClr="000000"/>
              </a:solidFill>
            </a:rPr>
            <a:t> average around 24 MPG.</a:t>
          </a:r>
        </a:p>
        <a:p>
          <a:r>
            <a:rPr lang="en-US" sz="1400" b="1">
              <a:solidFill>
                <a:sysClr val="windowText" lastClr="000000"/>
              </a:solidFill>
            </a:rPr>
            <a:t>High HP vehicles</a:t>
          </a:r>
          <a:r>
            <a:rPr lang="en-US" sz="1400">
              <a:solidFill>
                <a:sysClr val="windowText" lastClr="000000"/>
              </a:solidFill>
            </a:rPr>
            <a:t> have the lowest fuel efficiency (20 MPG).</a:t>
          </a:r>
        </a:p>
        <a:p>
          <a:r>
            <a:rPr lang="en-US" sz="1400">
              <a:solidFill>
                <a:sysClr val="windowText" lastClr="000000"/>
              </a:solidFill>
            </a:rPr>
            <a:t>This demonstrates a clear inverse relationship between horsepower and fuel efficiency. As engine power increases, fuel consumption also increases, resulting in lower MPG values.</a:t>
          </a:r>
        </a:p>
        <a:p>
          <a:r>
            <a:rPr lang="en-US" sz="1400">
              <a:solidFill>
                <a:sysClr val="windowText" lastClr="000000"/>
              </a:solidFill>
            </a:rPr>
            <a:t>This pattern reflects real-world automotive design, where high-performance vehicles prioritize speed and power over fuel economy.</a:t>
          </a:r>
        </a:p>
        <a:p>
          <a:pPr algn="l"/>
          <a:endParaRPr 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98213</xdr:colOff>
      <xdr:row>3</xdr:row>
      <xdr:rowOff>94615</xdr:rowOff>
    </xdr:from>
    <xdr:to>
      <xdr:col>19</xdr:col>
      <xdr:colOff>211665</xdr:colOff>
      <xdr:row>22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31450-583A-17A5-D037-479ACD779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170975</xdr:colOff>
      <xdr:row>32</xdr:row>
      <xdr:rowOff>79535</xdr:rowOff>
    </xdr:from>
    <xdr:to>
      <xdr:col>13</xdr:col>
      <xdr:colOff>59531</xdr:colOff>
      <xdr:row>76</xdr:row>
      <xdr:rowOff>130969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25B94C-02CC-42DA-ACFE-5E0274AD5907}"/>
            </a:ext>
          </a:extLst>
        </xdr:cNvPr>
        <xdr:cNvSpPr/>
      </xdr:nvSpPr>
      <xdr:spPr>
        <a:xfrm>
          <a:off x="170975" y="5889785"/>
          <a:ext cx="8389619" cy="790955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ysClr val="windowText" lastClr="000000"/>
              </a:solidFill>
            </a:rPr>
            <a:t>Goal</a:t>
          </a:r>
        </a:p>
        <a:p>
          <a:r>
            <a:rPr lang="en-US" sz="1600">
              <a:solidFill>
                <a:sysClr val="windowText" lastClr="000000"/>
              </a:solidFill>
            </a:rPr>
            <a:t>Identify the most expensive vehicle models in the dataset.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Chart</a:t>
          </a:r>
        </a:p>
        <a:p>
          <a:r>
            <a:rPr lang="en-US" sz="1600">
              <a:solidFill>
                <a:sysClr val="windowText" lastClr="000000"/>
              </a:solidFill>
            </a:rPr>
            <a:t>Column chart displaying the top 10 most expensive car models based on maximum price.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Story / Analysis</a:t>
          </a:r>
        </a:p>
        <a:p>
          <a:r>
            <a:rPr lang="en-US" sz="1600">
              <a:solidFill>
                <a:sysClr val="windowText" lastClr="000000"/>
              </a:solidFill>
            </a:rPr>
            <a:t>This visualization highlights the highest-priced vehicles within the dataset.</a:t>
          </a:r>
        </a:p>
        <a:p>
          <a:r>
            <a:rPr lang="en-US" sz="1600">
              <a:solidFill>
                <a:sysClr val="windowText" lastClr="000000"/>
              </a:solidFill>
            </a:rPr>
            <a:t>The analysis reveals that luxury and performance brands dominate the top price rankings.</a:t>
          </a:r>
        </a:p>
        <a:p>
          <a:r>
            <a:rPr lang="en-US" sz="1600">
              <a:solidFill>
                <a:sysClr val="windowText" lastClr="000000"/>
              </a:solidFill>
            </a:rPr>
            <a:t>The most expensive model identified is the </a:t>
          </a:r>
          <a:r>
            <a:rPr lang="en-US" sz="1600" b="1">
              <a:solidFill>
                <a:sysClr val="windowText" lastClr="000000"/>
              </a:solidFill>
            </a:rPr>
            <a:t>Mercedes-Benz CL500</a:t>
          </a:r>
          <a:r>
            <a:rPr lang="en-US" sz="1600">
              <a:solidFill>
                <a:sysClr val="windowText" lastClr="000000"/>
              </a:solidFill>
            </a:rPr>
            <a:t>, with a price exceeding $85,000.</a:t>
          </a:r>
        </a:p>
        <a:p>
          <a:r>
            <a:rPr lang="en-US" sz="1600">
              <a:solidFill>
                <a:sysClr val="windowText" lastClr="000000"/>
              </a:solidFill>
            </a:rPr>
            <a:t>Other high-ranking models include:</a:t>
          </a:r>
        </a:p>
        <a:p>
          <a:r>
            <a:rPr lang="en-US" sz="1600">
              <a:solidFill>
                <a:sysClr val="windowText" lastClr="000000"/>
              </a:solidFill>
            </a:rPr>
            <a:t>Mercedes-Benz S-Class</a:t>
          </a:r>
        </a:p>
        <a:p>
          <a:r>
            <a:rPr lang="en-US" sz="1600">
              <a:solidFill>
                <a:sysClr val="windowText" lastClr="000000"/>
              </a:solidFill>
            </a:rPr>
            <a:t>Porsche Carrera Cabrio</a:t>
          </a:r>
        </a:p>
        <a:p>
          <a:r>
            <a:rPr lang="en-US" sz="1600">
              <a:solidFill>
                <a:sysClr val="windowText" lastClr="000000"/>
              </a:solidFill>
            </a:rPr>
            <a:t>Porsche Carrera Coupe</a:t>
          </a:r>
        </a:p>
        <a:p>
          <a:r>
            <a:rPr lang="en-US" sz="1600">
              <a:solidFill>
                <a:sysClr val="windowText" lastClr="000000"/>
              </a:solidFill>
            </a:rPr>
            <a:t>Dodge Viper</a:t>
          </a:r>
        </a:p>
        <a:p>
          <a:r>
            <a:rPr lang="en-US" sz="1600">
              <a:solidFill>
                <a:sysClr val="windowText" lastClr="000000"/>
              </a:solidFill>
            </a:rPr>
            <a:t>These vehicles are characterized by high horsepower engines, premium materials, and luxury features, which significantly increase their market price.</a:t>
          </a:r>
        </a:p>
        <a:p>
          <a:r>
            <a:rPr lang="en-US" sz="1600">
              <a:solidFill>
                <a:sysClr val="windowText" lastClr="000000"/>
              </a:solidFill>
            </a:rPr>
            <a:t>The chart demonstrates how luxury automotive brands position themselves in the high-end pricing segment.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Key Insight</a:t>
          </a:r>
        </a:p>
        <a:p>
          <a:r>
            <a:rPr lang="en-US" sz="1600">
              <a:solidFill>
                <a:sysClr val="windowText" lastClr="000000"/>
              </a:solidFill>
            </a:rPr>
            <a:t>Luxury and performance vehicles command significantly higher prices, reflecting brand value, engineering complexity, and premium market positioning.</a:t>
          </a:r>
        </a:p>
        <a:p>
          <a:pPr algn="l"/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77390</xdr:colOff>
      <xdr:row>4</xdr:row>
      <xdr:rowOff>55483</xdr:rowOff>
    </xdr:from>
    <xdr:to>
      <xdr:col>13</xdr:col>
      <xdr:colOff>83343</xdr:colOff>
      <xdr:row>31</xdr:row>
      <xdr:rowOff>83344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85067E-4BB2-C65E-7D79-DC74A2400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171310</xdr:rowOff>
    </xdr:from>
    <xdr:to>
      <xdr:col>13</xdr:col>
      <xdr:colOff>400525</xdr:colOff>
      <xdr:row>67</xdr:row>
      <xdr:rowOff>89647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65FD530-8E94-4124-8B3C-064C68B80A64}"/>
            </a:ext>
          </a:extLst>
        </xdr:cNvPr>
        <xdr:cNvSpPr/>
      </xdr:nvSpPr>
      <xdr:spPr>
        <a:xfrm>
          <a:off x="0" y="5964751"/>
          <a:ext cx="9690201" cy="673151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ysClr val="windowText" lastClr="000000"/>
              </a:solidFill>
            </a:rPr>
            <a:t>Goal</a:t>
          </a:r>
        </a:p>
        <a:p>
          <a:r>
            <a:rPr lang="en-US" sz="1600">
              <a:solidFill>
                <a:sysClr val="windowText" lastClr="000000"/>
              </a:solidFill>
            </a:rPr>
            <a:t>Identify which vehicle models retain the highest resale value.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Chart</a:t>
          </a:r>
        </a:p>
        <a:p>
          <a:r>
            <a:rPr lang="en-US" sz="1600">
              <a:solidFill>
                <a:sysClr val="windowText" lastClr="000000"/>
              </a:solidFill>
            </a:rPr>
            <a:t>Column chart displaying the highest resale value by vehicle model.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Story / Analysis</a:t>
          </a:r>
        </a:p>
        <a:p>
          <a:r>
            <a:rPr lang="en-US" sz="1600">
              <a:solidFill>
                <a:sysClr val="windowText" lastClr="000000"/>
              </a:solidFill>
            </a:rPr>
            <a:t>This visualization highlights the vehicle models that maintain the strongest resale value over time.</a:t>
          </a:r>
        </a:p>
        <a:p>
          <a:r>
            <a:rPr lang="en-US" sz="1600">
              <a:solidFill>
                <a:sysClr val="windowText" lastClr="000000"/>
              </a:solidFill>
            </a:rPr>
            <a:t>The analysis reveals that premium and luxury sports vehicles dominate the top resale rankings.</a:t>
          </a:r>
        </a:p>
        <a:p>
          <a:r>
            <a:rPr lang="en-US" sz="1600">
              <a:solidFill>
                <a:sysClr val="windowText" lastClr="000000"/>
              </a:solidFill>
            </a:rPr>
            <a:t>The model with the highest resale value is the </a:t>
          </a:r>
          <a:r>
            <a:rPr lang="en-US" sz="1600" b="1">
              <a:solidFill>
                <a:sysClr val="windowText" lastClr="000000"/>
              </a:solidFill>
            </a:rPr>
            <a:t>Porsche Carrera Cabrio</a:t>
          </a:r>
          <a:r>
            <a:rPr lang="en-US" sz="1600">
              <a:solidFill>
                <a:sysClr val="windowText" lastClr="000000"/>
              </a:solidFill>
            </a:rPr>
            <a:t>, exceeding $67,000.</a:t>
          </a:r>
        </a:p>
        <a:p>
          <a:r>
            <a:rPr lang="en-US" sz="1600">
              <a:solidFill>
                <a:sysClr val="windowText" lastClr="000000"/>
              </a:solidFill>
            </a:rPr>
            <a:t>Other top performers include:</a:t>
          </a:r>
        </a:p>
        <a:p>
          <a:r>
            <a:rPr lang="en-US" sz="1600">
              <a:solidFill>
                <a:sysClr val="windowText" lastClr="000000"/>
              </a:solidFill>
            </a:rPr>
            <a:t>Mercedes-Benz CL500</a:t>
          </a:r>
        </a:p>
        <a:p>
          <a:r>
            <a:rPr lang="en-US" sz="1600">
              <a:solidFill>
                <a:sysClr val="windowText" lastClr="000000"/>
              </a:solidFill>
            </a:rPr>
            <a:t>Porsche Carrera Coupe</a:t>
          </a:r>
        </a:p>
        <a:p>
          <a:r>
            <a:rPr lang="en-US" sz="1600">
              <a:solidFill>
                <a:sysClr val="windowText" lastClr="000000"/>
              </a:solidFill>
            </a:rPr>
            <a:t>Mercedes-Benz S-Class</a:t>
          </a:r>
        </a:p>
        <a:p>
          <a:r>
            <a:rPr lang="en-US" sz="1600">
              <a:solidFill>
                <a:sysClr val="windowText" lastClr="000000"/>
              </a:solidFill>
            </a:rPr>
            <a:t>Dodge Viper</a:t>
          </a:r>
        </a:p>
        <a:p>
          <a:r>
            <a:rPr lang="en-US" sz="1600">
              <a:solidFill>
                <a:sysClr val="windowText" lastClr="000000"/>
              </a:solidFill>
            </a:rPr>
            <a:t>These vehicles maintain strong resale value due to high brand prestige, superior engineering quality, and sustained market demand.</a:t>
          </a:r>
        </a:p>
        <a:p>
          <a:r>
            <a:rPr lang="en-US" sz="1600">
              <a:solidFill>
                <a:sysClr val="windowText" lastClr="000000"/>
              </a:solidFill>
            </a:rPr>
            <a:t>Luxury and performance vehicles depreciate at a slower rate compared to standard passenger vehicles.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Key Insight</a:t>
          </a:r>
        </a:p>
        <a:p>
          <a:r>
            <a:rPr lang="en-US" sz="1600">
              <a:solidFill>
                <a:sysClr val="windowText" lastClr="000000"/>
              </a:solidFill>
            </a:rPr>
            <a:t>Premium automotive brands demonstrate significantly higher resale retention, indicating stronger long-term value preservation.</a:t>
          </a:r>
        </a:p>
        <a:p>
          <a:pPr algn="l"/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121359</xdr:colOff>
      <xdr:row>4</xdr:row>
      <xdr:rowOff>451261</xdr:rowOff>
    </xdr:from>
    <xdr:to>
      <xdr:col>13</xdr:col>
      <xdr:colOff>347382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125B-C65B-9BC7-D440-B1B3C06D0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171310</xdr:rowOff>
    </xdr:from>
    <xdr:to>
      <xdr:col>13</xdr:col>
      <xdr:colOff>400525</xdr:colOff>
      <xdr:row>67</xdr:row>
      <xdr:rowOff>89647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6010F6-502B-44CA-A2F1-322679FEF6DD}"/>
            </a:ext>
          </a:extLst>
        </xdr:cNvPr>
        <xdr:cNvSpPr/>
      </xdr:nvSpPr>
      <xdr:spPr>
        <a:xfrm>
          <a:off x="0" y="6013945"/>
          <a:ext cx="9712165" cy="67953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ysClr val="windowText" lastClr="000000"/>
              </a:solidFill>
            </a:rPr>
            <a:t>Goal</a:t>
          </a:r>
        </a:p>
        <a:p>
          <a:r>
            <a:rPr lang="en-US" sz="1600">
              <a:solidFill>
                <a:sysClr val="windowText" lastClr="000000"/>
              </a:solidFill>
            </a:rPr>
            <a:t>Analyze the distribution of vehicle retention classifications.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Chart</a:t>
          </a:r>
        </a:p>
        <a:p>
          <a:r>
            <a:rPr lang="en-US" sz="1600">
              <a:solidFill>
                <a:sysClr val="windowText" lastClr="000000"/>
              </a:solidFill>
            </a:rPr>
            <a:t>Pie chart displaying the percentage distribution of vehicles classified as GOOD vs POOR retention.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Story / Analysis</a:t>
          </a:r>
        </a:p>
        <a:p>
          <a:r>
            <a:rPr lang="en-US" sz="1600">
              <a:solidFill>
                <a:sysClr val="windowText" lastClr="000000"/>
              </a:solidFill>
            </a:rPr>
            <a:t>This visualization illustrates the distribution of vehicle retention performance across the dataset.</a:t>
          </a:r>
        </a:p>
        <a:p>
          <a:r>
            <a:rPr lang="en-US" sz="1600">
              <a:solidFill>
                <a:sysClr val="windowText" lastClr="000000"/>
              </a:solidFill>
            </a:rPr>
            <a:t>The analysis shows that:</a:t>
          </a:r>
        </a:p>
        <a:p>
          <a:r>
            <a:rPr lang="en-US" sz="1600" b="1">
              <a:solidFill>
                <a:sysClr val="windowText" lastClr="000000"/>
              </a:solidFill>
            </a:rPr>
            <a:t>54% of vehicles</a:t>
          </a:r>
          <a:r>
            <a:rPr lang="en-US" sz="1600">
              <a:solidFill>
                <a:sysClr val="windowText" lastClr="000000"/>
              </a:solidFill>
            </a:rPr>
            <a:t> fall under the POOR retention category.</a:t>
          </a:r>
        </a:p>
        <a:p>
          <a:r>
            <a:rPr lang="en-US" sz="1600" b="1">
              <a:solidFill>
                <a:sysClr val="windowText" lastClr="000000"/>
              </a:solidFill>
            </a:rPr>
            <a:t>46% of vehicles</a:t>
          </a:r>
          <a:r>
            <a:rPr lang="en-US" sz="1600">
              <a:solidFill>
                <a:sysClr val="windowText" lastClr="000000"/>
              </a:solidFill>
            </a:rPr>
            <a:t> are classified as GOOD retention.</a:t>
          </a:r>
        </a:p>
        <a:p>
          <a:r>
            <a:rPr lang="en-US" sz="1600">
              <a:solidFill>
                <a:sysClr val="windowText" lastClr="000000"/>
              </a:solidFill>
            </a:rPr>
            <a:t>This indicates that the majority of vehicles depreciate at a faster rate, losing a significant portion of their resale value over time.</a:t>
          </a:r>
        </a:p>
        <a:p>
          <a:r>
            <a:rPr lang="en-US" sz="1600">
              <a:solidFill>
                <a:sysClr val="windowText" lastClr="000000"/>
              </a:solidFill>
            </a:rPr>
            <a:t>However, a substantial segment of vehicles maintains strong value retention, typically associated with premium brands and higher-quality engineering.</a:t>
          </a:r>
        </a:p>
        <a:p>
          <a:br>
            <a:rPr lang="en-US" sz="1600">
              <a:solidFill>
                <a:sysClr val="windowText" lastClr="000000"/>
              </a:solidFill>
            </a:rPr>
          </a:br>
          <a:endParaRPr lang="en-US" sz="1600">
            <a:solidFill>
              <a:sysClr val="windowText" lastClr="000000"/>
            </a:solidFill>
          </a:endParaRPr>
        </a:p>
        <a:p>
          <a:r>
            <a:rPr lang="en-US" sz="1600" b="1">
              <a:solidFill>
                <a:sysClr val="windowText" lastClr="000000"/>
              </a:solidFill>
            </a:rPr>
            <a:t>Key Insight</a:t>
          </a:r>
        </a:p>
        <a:p>
          <a:r>
            <a:rPr lang="en-US" sz="1600">
              <a:solidFill>
                <a:sysClr val="windowText" lastClr="000000"/>
              </a:solidFill>
            </a:rPr>
            <a:t>Vehicle depreciation is prevalent across the dataset, with more than half of models experiencing weaker resale retention.</a:t>
          </a:r>
        </a:p>
        <a:p>
          <a:pPr algn="l"/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206693</xdr:colOff>
      <xdr:row>4</xdr:row>
      <xdr:rowOff>365044</xdr:rowOff>
    </xdr:from>
    <xdr:to>
      <xdr:col>13</xdr:col>
      <xdr:colOff>309562</xdr:colOff>
      <xdr:row>20</xdr:row>
      <xdr:rowOff>166686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80E9FE-7394-E7E2-1352-230415CA1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110490</xdr:rowOff>
    </xdr:from>
    <xdr:to>
      <xdr:col>14</xdr:col>
      <xdr:colOff>593883</xdr:colOff>
      <xdr:row>38</xdr:row>
      <xdr:rowOff>117410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AD124D-7192-47E3-81A4-231090F3C489}"/>
            </a:ext>
          </a:extLst>
        </xdr:cNvPr>
        <xdr:cNvSpPr/>
      </xdr:nvSpPr>
      <xdr:spPr>
        <a:xfrm>
          <a:off x="0" y="291465"/>
          <a:ext cx="9128283" cy="67029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 b="1">
              <a:solidFill>
                <a:sysClr val="windowText" lastClr="000000"/>
              </a:solidFill>
            </a:rPr>
            <a:t>Section 7 — Conclusion</a:t>
          </a:r>
        </a:p>
        <a:p>
          <a:r>
            <a:rPr lang="en-US" sz="1600">
              <a:solidFill>
                <a:sysClr val="windowText" lastClr="000000"/>
              </a:solidFill>
            </a:rPr>
            <a:t>This project explored automotive sales and vehicle performance data through multiple visualization perspectives.</a:t>
          </a:r>
        </a:p>
        <a:p>
          <a:r>
            <a:rPr lang="en-US" sz="1600">
              <a:solidFill>
                <a:sysClr val="windowText" lastClr="000000"/>
              </a:solidFill>
            </a:rPr>
            <a:t>Key findings include:</a:t>
          </a:r>
        </a:p>
        <a:p>
          <a:r>
            <a:rPr lang="en-US" sz="1600">
              <a:solidFill>
                <a:sysClr val="windowText" lastClr="000000"/>
              </a:solidFill>
            </a:rPr>
            <a:t>Certain manufacturers dominate total unit sales, reflecting strong brand market share.</a:t>
          </a:r>
        </a:p>
        <a:p>
          <a:r>
            <a:rPr lang="en-US" sz="1600">
              <a:solidFill>
                <a:sysClr val="windowText" lastClr="000000"/>
              </a:solidFill>
            </a:rPr>
            <a:t>Passenger vehicles show slightly higher average pricing compared to general vehicle categories.</a:t>
          </a:r>
        </a:p>
        <a:p>
          <a:r>
            <a:rPr lang="en-US" sz="1600">
              <a:solidFill>
                <a:sysClr val="windowText" lastClr="000000"/>
              </a:solidFill>
            </a:rPr>
            <a:t>Fuel efficiency decreases as horsepower increases, demonstrating the trade-off between performance and economy.</a:t>
          </a:r>
        </a:p>
        <a:p>
          <a:r>
            <a:rPr lang="en-US" sz="1600">
              <a:solidFill>
                <a:sysClr val="windowText" lastClr="000000"/>
              </a:solidFill>
            </a:rPr>
            <a:t>Luxury and performance models rank highest in both initial price and resale value.</a:t>
          </a:r>
        </a:p>
        <a:p>
          <a:r>
            <a:rPr lang="en-US" sz="1600">
              <a:solidFill>
                <a:sysClr val="windowText" lastClr="000000"/>
              </a:solidFill>
            </a:rPr>
            <a:t>Premium brands maintain stronger long-term value retention.</a:t>
          </a:r>
        </a:p>
        <a:p>
          <a:r>
            <a:rPr lang="en-US" sz="1600">
              <a:solidFill>
                <a:sysClr val="windowText" lastClr="000000"/>
              </a:solidFill>
            </a:rPr>
            <a:t>More than half of vehicles fall into the poor retention category, highlighting industry-wide depreciation trends.</a:t>
          </a:r>
        </a:p>
        <a:p>
          <a:r>
            <a:rPr lang="en-US" sz="1600">
              <a:solidFill>
                <a:sysClr val="windowText" lastClr="000000"/>
              </a:solidFill>
            </a:rPr>
            <a:t>Overall, the analysis demonstrates how data visualization can transform complex automotive datasets into actionable insights.</a:t>
          </a:r>
        </a:p>
        <a:p>
          <a:r>
            <a:rPr lang="en-US" sz="1600">
              <a:solidFill>
                <a:sysClr val="windowText" lastClr="000000"/>
              </a:solidFill>
            </a:rPr>
            <a:t>These findings could support manufacturers, dealerships, and investors in pricing strategy, product positioning, and long-term asset valuation decisions.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ellah Boudlal" refreshedDate="46070.690920949077" createdVersion="8" refreshedVersion="8" minRefreshableVersion="3" recordCount="155" xr:uid="{93676D36-CFC3-43CC-8087-9ED2E50B4C0E}">
  <cacheSource type="worksheet">
    <worksheetSource name="Sales_Table"/>
  </cacheSource>
  <cacheFields count="19"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0">
      <sharedItems containsSemiMixedTypes="0" containsString="0" containsNumber="1" minValue="110" maxValue="540561"/>
    </cacheField>
    <cacheField name="Price" numFmtId="0">
      <sharedItems containsSemiMixedTypes="0" containsString="0" containsNumber="1" minValue="9235" maxValue="85500"/>
    </cacheField>
    <cacheField name="Year Resale Value" numFmtId="0">
      <sharedItems containsSemiMixedTypes="0" containsString="0" containsNumber="1" minValue="5160" maxValue="67550"/>
    </cacheField>
    <cacheField name="Retention %" numFmtId="0">
      <sharedItems containsSemiMixedTypes="0" containsString="0" containsNumber="1" minValue="0.4791106329567868" maxValue="0.99565532223026787"/>
    </cacheField>
    <cacheField name="Retention Value" numFmtId="0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 count="3">
        <s v="Medium HP"/>
        <s v="High HP"/>
        <s v="Low HP"/>
      </sharedItems>
    </cacheField>
    <cacheField name="Vehicle_type" numFmtId="0">
      <sharedItems count="2">
        <s v="Passenger"/>
        <s v="Car"/>
      </sharedItems>
    </cacheField>
    <cacheField name="Fuel Efficiency" numFmtId="0">
      <sharedItems containsSemiMixedTypes="0" containsString="0" containsNumber="1" containsInteger="1" minValue="15" maxValue="45"/>
    </cacheField>
    <cacheField name="Power Perf Factor" numFmtId="0">
      <sharedItems containsSemiMixedTypes="0" containsString="0" containsNumber="1" minValue="23.276272330000001" maxValue="188.14432300000001"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Latest Launch" numFmtId="14">
      <sharedItems containsSemiMixedTypes="0" containsNonDate="0" containsDate="1" containsString="0" minDate="2008-02-13T00:00:00" maxDate="2012-12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n v="16919"/>
    <n v="21500"/>
    <n v="16360"/>
    <n v="0.76093023255813952"/>
    <x v="0"/>
    <n v="1.8"/>
    <n v="140"/>
    <x v="0"/>
    <x v="0"/>
    <n v="28"/>
    <n v="58.280149520000002"/>
    <n v="101.2"/>
    <n v="67.3"/>
    <n v="172.4"/>
    <n v="2.6389999999999998"/>
    <n v="13.2"/>
    <d v="2012-02-02T00:00:00"/>
  </r>
  <r>
    <x v="0"/>
    <x v="1"/>
    <n v="39384"/>
    <n v="28400"/>
    <n v="19875"/>
    <n v="0.69982394366197187"/>
    <x v="0"/>
    <n v="3.2"/>
    <n v="225"/>
    <x v="0"/>
    <x v="0"/>
    <n v="25"/>
    <n v="91.370777660000002"/>
    <n v="108.1"/>
    <n v="70.3"/>
    <n v="192.9"/>
    <n v="3.5169999999999999"/>
    <n v="17.2"/>
    <d v="2011-06-03T00:00:00"/>
  </r>
  <r>
    <x v="0"/>
    <x v="2"/>
    <n v="8588"/>
    <n v="42000"/>
    <n v="29725"/>
    <n v="0.70773809523809528"/>
    <x v="0"/>
    <n v="3.5"/>
    <n v="210"/>
    <x v="0"/>
    <x v="0"/>
    <n v="22"/>
    <n v="91.389779329999996"/>
    <n v="114.6"/>
    <n v="71.400000000000006"/>
    <n v="196.6"/>
    <n v="3.85"/>
    <n v="18"/>
    <d v="2011-03-10T00:00:00"/>
  </r>
  <r>
    <x v="1"/>
    <x v="3"/>
    <n v="20397"/>
    <n v="23990"/>
    <n v="22255"/>
    <n v="0.92767819924968742"/>
    <x v="0"/>
    <n v="1.8"/>
    <n v="150"/>
    <x v="0"/>
    <x v="0"/>
    <n v="27"/>
    <n v="62.777639200000003"/>
    <n v="102.6"/>
    <n v="68.2"/>
    <n v="178"/>
    <n v="2.9980000000000002"/>
    <n v="16.399999999999999"/>
    <d v="2011-10-08T00:00:00"/>
  </r>
  <r>
    <x v="1"/>
    <x v="4"/>
    <n v="18780"/>
    <n v="33950"/>
    <n v="23555"/>
    <n v="0.6938144329896907"/>
    <x v="0"/>
    <n v="2.8"/>
    <n v="200"/>
    <x v="0"/>
    <x v="0"/>
    <n v="22"/>
    <n v="84.565105020000004"/>
    <n v="108.7"/>
    <n v="76.099999999999994"/>
    <n v="192"/>
    <n v="3.5609999999999999"/>
    <n v="18.5"/>
    <d v="2011-08-09T00:00:00"/>
  </r>
  <r>
    <x v="1"/>
    <x v="5"/>
    <n v="1380"/>
    <n v="62000"/>
    <n v="39000"/>
    <n v="0.62903225806451613"/>
    <x v="1"/>
    <n v="4.2"/>
    <n v="310"/>
    <x v="1"/>
    <x v="0"/>
    <n v="21"/>
    <n v="134.65685819999999"/>
    <n v="113"/>
    <n v="74"/>
    <n v="198.2"/>
    <n v="3.9020000000000001"/>
    <n v="23.7"/>
    <d v="2012-02-27T00:00:00"/>
  </r>
  <r>
    <x v="2"/>
    <x v="6"/>
    <n v="19747"/>
    <n v="26990"/>
    <n v="24500"/>
    <n v="0.9077436087439793"/>
    <x v="0"/>
    <n v="2.5"/>
    <n v="170"/>
    <x v="0"/>
    <x v="0"/>
    <n v="26"/>
    <n v="71.191206710000003"/>
    <n v="107.3"/>
    <n v="68.400000000000006"/>
    <n v="176"/>
    <n v="3.1789999999999998"/>
    <n v="16.600000000000001"/>
    <d v="2011-06-28T00:00:00"/>
  </r>
  <r>
    <x v="2"/>
    <x v="7"/>
    <n v="9231"/>
    <n v="33400"/>
    <n v="28675"/>
    <n v="0.85853293413173648"/>
    <x v="0"/>
    <n v="2.8"/>
    <n v="193"/>
    <x v="0"/>
    <x v="0"/>
    <n v="24"/>
    <n v="81.877068559999998"/>
    <n v="107.3"/>
    <n v="68.5"/>
    <n v="176"/>
    <n v="3.1970000000000001"/>
    <n v="16.600000000000001"/>
    <d v="2012-01-29T00:00:00"/>
  </r>
  <r>
    <x v="2"/>
    <x v="8"/>
    <n v="17527"/>
    <n v="38900"/>
    <n v="36125"/>
    <n v="0.92866323907455017"/>
    <x v="0"/>
    <n v="2.8"/>
    <n v="193"/>
    <x v="0"/>
    <x v="0"/>
    <n v="25"/>
    <n v="83.998723799999993"/>
    <n v="111.4"/>
    <n v="70.900000000000006"/>
    <n v="188"/>
    <n v="3.472"/>
    <n v="18.5"/>
    <d v="2011-04-04T00:00:00"/>
  </r>
  <r>
    <x v="3"/>
    <x v="9"/>
    <n v="91561"/>
    <n v="21975"/>
    <n v="12475"/>
    <n v="0.56769055745164965"/>
    <x v="1"/>
    <n v="3.1"/>
    <n v="175"/>
    <x v="0"/>
    <x v="0"/>
    <n v="25"/>
    <n v="71.181451319999994"/>
    <n v="109"/>
    <n v="72.7"/>
    <n v="194.6"/>
    <n v="3.3679999999999999"/>
    <n v="17.5"/>
    <d v="2011-11-02T00:00:00"/>
  </r>
  <r>
    <x v="3"/>
    <x v="10"/>
    <n v="39350"/>
    <n v="25300"/>
    <n v="13740"/>
    <n v="0.54308300395256914"/>
    <x v="1"/>
    <n v="3.8"/>
    <n v="240"/>
    <x v="0"/>
    <x v="0"/>
    <n v="23"/>
    <n v="95.636702529999994"/>
    <n v="109"/>
    <n v="72.7"/>
    <n v="196.2"/>
    <n v="3.5430000000000001"/>
    <n v="17.5"/>
    <d v="2011-09-03T00:00:00"/>
  </r>
  <r>
    <x v="3"/>
    <x v="11"/>
    <n v="27851"/>
    <n v="31965"/>
    <n v="20190"/>
    <n v="0.63162834350070385"/>
    <x v="1"/>
    <n v="3.8"/>
    <n v="205"/>
    <x v="0"/>
    <x v="0"/>
    <n v="24"/>
    <n v="85.828408249999995"/>
    <n v="113.8"/>
    <n v="74.7"/>
    <n v="206.8"/>
    <n v="3.778"/>
    <n v="18.5"/>
    <d v="2012-03-23T00:00:00"/>
  </r>
  <r>
    <x v="3"/>
    <x v="12"/>
    <n v="83257"/>
    <n v="27885"/>
    <n v="13360"/>
    <n v="0.4791106329567868"/>
    <x v="1"/>
    <n v="3.8"/>
    <n v="205"/>
    <x v="0"/>
    <x v="0"/>
    <n v="25"/>
    <n v="84.254525810000004"/>
    <n v="112.2"/>
    <n v="73.5"/>
    <n v="200"/>
    <n v="3.5910000000000002"/>
    <n v="17.5"/>
    <d v="2011-07-23T00:00:00"/>
  </r>
  <r>
    <x v="4"/>
    <x v="13"/>
    <n v="63729"/>
    <n v="39895"/>
    <n v="22525"/>
    <n v="0.56460709362075445"/>
    <x v="1"/>
    <n v="4.5999999999999996"/>
    <n v="275"/>
    <x v="0"/>
    <x v="0"/>
    <n v="22"/>
    <n v="113.85459760000001"/>
    <n v="115.3"/>
    <n v="74.5"/>
    <n v="207.2"/>
    <n v="3.9780000000000002"/>
    <n v="18.5"/>
    <d v="2012-02-23T00:00:00"/>
  </r>
  <r>
    <x v="4"/>
    <x v="14"/>
    <n v="15943"/>
    <n v="44475"/>
    <n v="27100"/>
    <n v="0.60933108487914556"/>
    <x v="1"/>
    <n v="4.5999999999999996"/>
    <n v="275"/>
    <x v="0"/>
    <x v="0"/>
    <n v="22"/>
    <n v="115.6213578"/>
    <n v="112.2"/>
    <n v="75"/>
    <n v="201"/>
    <n v="3.875"/>
    <n v="18.5"/>
    <d v="2011-04-29T00:00:00"/>
  </r>
  <r>
    <x v="4"/>
    <x v="15"/>
    <n v="6536"/>
    <n v="39665"/>
    <n v="25725"/>
    <n v="0.6485566620446237"/>
    <x v="1"/>
    <n v="4.5999999999999996"/>
    <n v="275"/>
    <x v="0"/>
    <x v="0"/>
    <n v="22"/>
    <n v="113.7658739"/>
    <n v="108"/>
    <n v="75.5"/>
    <n v="200.6"/>
    <n v="3.843"/>
    <n v="19"/>
    <d v="2011-11-27T00:00:00"/>
  </r>
  <r>
    <x v="4"/>
    <x v="16"/>
    <n v="11185"/>
    <n v="31010"/>
    <n v="18225"/>
    <n v="0.58771364076104482"/>
    <x v="1"/>
    <n v="3"/>
    <n v="200"/>
    <x v="0"/>
    <x v="0"/>
    <n v="22"/>
    <n v="83.483093580000002"/>
    <n v="107.4"/>
    <n v="70.3"/>
    <n v="194.8"/>
    <n v="3.77"/>
    <n v="18"/>
    <d v="2011-09-28T00:00:00"/>
  </r>
  <r>
    <x v="4"/>
    <x v="17"/>
    <n v="14785"/>
    <n v="46225"/>
    <n v="31245"/>
    <n v="0.67593293672255272"/>
    <x v="1"/>
    <n v="5.7"/>
    <n v="255"/>
    <x v="0"/>
    <x v="1"/>
    <n v="15"/>
    <n v="109.5091165"/>
    <n v="117.5"/>
    <n v="77"/>
    <n v="201.2"/>
    <n v="5.5720000000000001"/>
    <n v="30"/>
    <d v="2012-04-17T00:00:00"/>
  </r>
  <r>
    <x v="5"/>
    <x v="18"/>
    <n v="145519"/>
    <n v="13260"/>
    <n v="9250"/>
    <n v="0.69758672699849167"/>
    <x v="0"/>
    <n v="2.2000000000000002"/>
    <n v="115"/>
    <x v="0"/>
    <x v="0"/>
    <n v="27"/>
    <n v="46.363347470000001"/>
    <n v="104.1"/>
    <n v="67.900000000000006"/>
    <n v="180.9"/>
    <n v="2.6760000000000002"/>
    <n v="14.3"/>
    <d v="2011-08-17T00:00:00"/>
  </r>
  <r>
    <x v="5"/>
    <x v="19"/>
    <n v="135126"/>
    <n v="16535"/>
    <n v="11225"/>
    <n v="0.67886301784094349"/>
    <x v="1"/>
    <n v="3.1"/>
    <n v="170"/>
    <x v="0"/>
    <x v="0"/>
    <n v="25"/>
    <n v="67.314462160000005"/>
    <n v="107"/>
    <n v="69.400000000000006"/>
    <n v="190.4"/>
    <n v="3.0510000000000002"/>
    <n v="15"/>
    <d v="2012-03-19T00:00:00"/>
  </r>
  <r>
    <x v="5"/>
    <x v="20"/>
    <n v="24629"/>
    <n v="18890"/>
    <n v="10310"/>
    <n v="0.54579142403388037"/>
    <x v="1"/>
    <n v="3.1"/>
    <n v="175"/>
    <x v="0"/>
    <x v="0"/>
    <n v="25"/>
    <n v="69.991395600000004"/>
    <n v="107.5"/>
    <n v="72.5"/>
    <n v="200.9"/>
    <n v="3.33"/>
    <n v="16.600000000000001"/>
    <d v="2011-05-24T00:00:00"/>
  </r>
  <r>
    <x v="5"/>
    <x v="21"/>
    <n v="42593"/>
    <n v="19390"/>
    <n v="11525"/>
    <n v="0.59437854564208359"/>
    <x v="1"/>
    <n v="3.4"/>
    <n v="180"/>
    <x v="0"/>
    <x v="0"/>
    <n v="27"/>
    <n v="72.030917189999997"/>
    <n v="110.5"/>
    <n v="72.7"/>
    <n v="197.9"/>
    <n v="3.34"/>
    <n v="17"/>
    <d v="2011-12-22T00:00:00"/>
  </r>
  <r>
    <x v="5"/>
    <x v="22"/>
    <n v="26402"/>
    <n v="24340"/>
    <n v="13025"/>
    <n v="0.53512736236647496"/>
    <x v="1"/>
    <n v="3.8"/>
    <n v="200"/>
    <x v="0"/>
    <x v="0"/>
    <n v="25"/>
    <n v="81.118543329999994"/>
    <n v="101.1"/>
    <n v="74.099999999999994"/>
    <n v="193.2"/>
    <n v="3.5"/>
    <n v="16.8"/>
    <d v="2011-10-23T00:00:00"/>
  </r>
  <r>
    <x v="5"/>
    <x v="23"/>
    <n v="17947"/>
    <n v="55705"/>
    <n v="36225"/>
    <n v="0.65030069114083111"/>
    <x v="1"/>
    <n v="5.7"/>
    <n v="345"/>
    <x v="1"/>
    <x v="0"/>
    <n v="22"/>
    <n v="141.14115000000001"/>
    <n v="104.5"/>
    <n v="73.599999999999994"/>
    <n v="179.7"/>
    <n v="3.21"/>
    <n v="19.100000000000001"/>
    <d v="2012-05-12T00:00:00"/>
  </r>
  <r>
    <x v="5"/>
    <x v="24"/>
    <n v="32299"/>
    <n v="13960"/>
    <n v="9125"/>
    <n v="0.65365329512893988"/>
    <x v="1"/>
    <n v="1.8"/>
    <n v="120"/>
    <x v="0"/>
    <x v="0"/>
    <n v="33"/>
    <n v="48.297636099999998"/>
    <n v="97.1"/>
    <n v="66.7"/>
    <n v="174.3"/>
    <n v="2.3980000000000001"/>
    <n v="13.2"/>
    <d v="2011-09-11T00:00:00"/>
  </r>
  <r>
    <x v="5"/>
    <x v="25"/>
    <n v="21855"/>
    <n v="9235"/>
    <n v="5160"/>
    <n v="0.55874390904168925"/>
    <x v="1"/>
    <n v="1"/>
    <n v="55"/>
    <x v="2"/>
    <x v="0"/>
    <n v="45"/>
    <n v="23.276272330000001"/>
    <n v="93.1"/>
    <n v="62.6"/>
    <n v="149.4"/>
    <n v="1.895"/>
    <n v="10.3"/>
    <d v="2012-04-13T00:00:00"/>
  </r>
  <r>
    <x v="5"/>
    <x v="26"/>
    <n v="107995"/>
    <n v="18890"/>
    <n v="11550"/>
    <n v="0.61143462149285333"/>
    <x v="1"/>
    <n v="3.4"/>
    <n v="180"/>
    <x v="0"/>
    <x v="0"/>
    <n v="27"/>
    <n v="71.838039440000003"/>
    <n v="110.5"/>
    <n v="73"/>
    <n v="200"/>
    <n v="3.3889999999999998"/>
    <n v="17"/>
    <d v="2011-06-18T00:00:00"/>
  </r>
  <r>
    <x v="6"/>
    <x v="27"/>
    <n v="7854"/>
    <n v="19840"/>
    <n v="12360"/>
    <n v="0.62298387096774188"/>
    <x v="1"/>
    <n v="2.5"/>
    <n v="163"/>
    <x v="0"/>
    <x v="0"/>
    <n v="24"/>
    <n v="65.957183959999995"/>
    <n v="103.7"/>
    <n v="69.7"/>
    <n v="190.9"/>
    <n v="2.9670000000000001"/>
    <n v="15.9"/>
    <d v="2012-01-16T00:00:00"/>
  </r>
  <r>
    <x v="6"/>
    <x v="28"/>
    <n v="32775"/>
    <n v="24495"/>
    <n v="14180"/>
    <n v="0.57889365176566643"/>
    <x v="1"/>
    <n v="2.5"/>
    <n v="168"/>
    <x v="0"/>
    <x v="0"/>
    <n v="24"/>
    <n v="69.521355049999997"/>
    <n v="106"/>
    <n v="69.2"/>
    <n v="193"/>
    <n v="3.3319999999999999"/>
    <n v="16"/>
    <d v="2011-11-17T00:00:00"/>
  </r>
  <r>
    <x v="6"/>
    <x v="29"/>
    <n v="31148"/>
    <n v="22245"/>
    <n v="13725"/>
    <n v="0.61699258260283207"/>
    <x v="1"/>
    <n v="2.7"/>
    <n v="200"/>
    <x v="0"/>
    <x v="0"/>
    <n v="26"/>
    <n v="80.02378204"/>
    <n v="113"/>
    <n v="74.400000000000006"/>
    <n v="209.1"/>
    <n v="3.452"/>
    <n v="17"/>
    <d v="2012-06-06T00:00:00"/>
  </r>
  <r>
    <x v="6"/>
    <x v="30"/>
    <n v="32305.999999999996"/>
    <n v="16480"/>
    <n v="12640"/>
    <n v="0.76699029126213591"/>
    <x v="0"/>
    <n v="2"/>
    <n v="132"/>
    <x v="0"/>
    <x v="0"/>
    <n v="27"/>
    <n v="53.566199869999998"/>
    <n v="108"/>
    <n v="71"/>
    <n v="186"/>
    <n v="2.911"/>
    <n v="16"/>
    <d v="2011-10-06T00:00:00"/>
  </r>
  <r>
    <x v="6"/>
    <x v="31"/>
    <n v="13462"/>
    <n v="28340"/>
    <n v="17325"/>
    <n v="0.61132674664784759"/>
    <x v="1"/>
    <n v="3.5"/>
    <n v="253"/>
    <x v="0"/>
    <x v="0"/>
    <n v="23"/>
    <n v="101.3292807"/>
    <n v="113"/>
    <n v="74.400000000000006"/>
    <n v="207.7"/>
    <n v="3.5640000000000001"/>
    <n v="17"/>
    <d v="2012-05-08T00:00:00"/>
  </r>
  <r>
    <x v="6"/>
    <x v="32"/>
    <n v="30696"/>
    <n v="29185"/>
    <n v="18425"/>
    <n v="0.63131745759808122"/>
    <x v="1"/>
    <n v="3.5"/>
    <n v="253"/>
    <x v="0"/>
    <x v="0"/>
    <n v="23"/>
    <n v="101.6552441"/>
    <n v="113"/>
    <n v="74.400000000000006"/>
    <n v="197.8"/>
    <n v="3.5670000000000002"/>
    <n v="17"/>
    <d v="2012-02-10T00:00:00"/>
  </r>
  <r>
    <x v="7"/>
    <x v="33"/>
    <n v="76034"/>
    <n v="12640"/>
    <n v="7750"/>
    <n v="0.61313291139240511"/>
    <x v="1"/>
    <n v="2"/>
    <n v="132"/>
    <x v="0"/>
    <x v="0"/>
    <n v="29"/>
    <n v="52.084898750000001"/>
    <n v="105"/>
    <n v="74.400000000000006"/>
    <n v="174.4"/>
    <n v="2.5670000000000002"/>
    <n v="12.5"/>
    <d v="2011-12-12T00:00:00"/>
  </r>
  <r>
    <x v="7"/>
    <x v="34"/>
    <n v="4734"/>
    <n v="19045"/>
    <n v="12545"/>
    <n v="0.65870307167235498"/>
    <x v="1"/>
    <n v="2.5"/>
    <n v="163"/>
    <x v="0"/>
    <x v="0"/>
    <n v="24"/>
    <n v="65.650508340000002"/>
    <n v="103.7"/>
    <n v="69.099999999999994"/>
    <n v="190.2"/>
    <n v="2.879"/>
    <n v="15.9"/>
    <d v="2012-07-01T00:00:00"/>
  </r>
  <r>
    <x v="7"/>
    <x v="35"/>
    <n v="71186"/>
    <n v="20230"/>
    <n v="10185"/>
    <n v="0.5034602076124568"/>
    <x v="1"/>
    <n v="2.5"/>
    <n v="168"/>
    <x v="0"/>
    <x v="0"/>
    <n v="24"/>
    <n v="67.876107840000003"/>
    <n v="108"/>
    <n v="71"/>
    <n v="186"/>
    <n v="3.0579999999999998"/>
    <n v="16"/>
    <d v="2011-10-31T00:00:00"/>
  </r>
  <r>
    <x v="7"/>
    <x v="36"/>
    <n v="88028"/>
    <n v="22505"/>
    <n v="12275"/>
    <n v="0.54543434792268386"/>
    <x v="1"/>
    <n v="2.7"/>
    <n v="202"/>
    <x v="0"/>
    <x v="0"/>
    <n v="22"/>
    <n v="80.831470170000003"/>
    <n v="113"/>
    <n v="74.7"/>
    <n v="203.7"/>
    <n v="3.4889999999999999"/>
    <n v="17"/>
    <d v="2012-06-02T00:00:00"/>
  </r>
  <r>
    <x v="7"/>
    <x v="37"/>
    <n v="916"/>
    <n v="69725"/>
    <n v="58470"/>
    <n v="0.83858013624955186"/>
    <x v="0"/>
    <n v="8"/>
    <n v="450"/>
    <x v="1"/>
    <x v="0"/>
    <n v="16"/>
    <n v="188.14432300000001"/>
    <n v="96.2"/>
    <n v="75.7"/>
    <n v="176.7"/>
    <n v="3.375"/>
    <n v="19"/>
    <d v="2011-08-07T00:00:00"/>
  </r>
  <r>
    <x v="7"/>
    <x v="38"/>
    <n v="227061"/>
    <n v="19460"/>
    <n v="15060"/>
    <n v="0.77389516957862281"/>
    <x v="0"/>
    <n v="5.2"/>
    <n v="230"/>
    <x v="0"/>
    <x v="1"/>
    <n v="17"/>
    <n v="90.211700050000005"/>
    <n v="138.69999999999999"/>
    <n v="79.3"/>
    <n v="224.2"/>
    <n v="4.47"/>
    <n v="26"/>
    <d v="2012-03-06T00:00:00"/>
  </r>
  <r>
    <x v="7"/>
    <x v="39"/>
    <n v="16767"/>
    <n v="21315"/>
    <n v="15510"/>
    <n v="0.72765657987332866"/>
    <x v="0"/>
    <n v="3.9"/>
    <n v="175"/>
    <x v="0"/>
    <x v="1"/>
    <n v="15"/>
    <n v="71.135291609999996"/>
    <n v="109.6"/>
    <n v="78.8"/>
    <n v="192.6"/>
    <n v="4.2450000000000001"/>
    <n v="32"/>
    <d v="2012-01-06T00:00:00"/>
  </r>
  <r>
    <x v="7"/>
    <x v="40"/>
    <n v="31038"/>
    <n v="18575"/>
    <n v="13425"/>
    <n v="0.7227456258411844"/>
    <x v="0"/>
    <n v="3.9"/>
    <n v="175"/>
    <x v="0"/>
    <x v="1"/>
    <n v="16"/>
    <n v="70.078321540000005"/>
    <n v="127.2"/>
    <n v="78.8"/>
    <n v="208.5"/>
    <n v="4.298"/>
    <n v="32"/>
    <d v="2012-07-26T00:00:00"/>
  </r>
  <r>
    <x v="7"/>
    <x v="41"/>
    <n v="111313"/>
    <n v="16980"/>
    <n v="11260"/>
    <n v="0.66313309776207308"/>
    <x v="1"/>
    <n v="2.5"/>
    <n v="120"/>
    <x v="0"/>
    <x v="1"/>
    <n v="19"/>
    <n v="49.64500177"/>
    <n v="131"/>
    <n v="71.5"/>
    <n v="215"/>
    <n v="3.5569999999999999"/>
    <n v="22"/>
    <d v="2011-11-25T00:00:00"/>
  </r>
  <r>
    <x v="7"/>
    <x v="42"/>
    <n v="101323"/>
    <n v="26310"/>
    <n v="21436"/>
    <n v="0.81474724439376667"/>
    <x v="0"/>
    <n v="5.2"/>
    <n v="230"/>
    <x v="0"/>
    <x v="1"/>
    <n v="17"/>
    <n v="92.85412522"/>
    <n v="115.7"/>
    <n v="71.7"/>
    <n v="193.5"/>
    <n v="4.3940000000000001"/>
    <n v="25"/>
    <d v="2012-06-27T00:00:00"/>
  </r>
  <r>
    <x v="7"/>
    <x v="43"/>
    <n v="181749"/>
    <n v="19565"/>
    <n v="12025"/>
    <n v="0.61461794019933558"/>
    <x v="1"/>
    <n v="2.4"/>
    <n v="150"/>
    <x v="0"/>
    <x v="1"/>
    <n v="24"/>
    <n v="61.227000310000001"/>
    <n v="113.3"/>
    <n v="76.8"/>
    <n v="186.3"/>
    <n v="3.5329999999999999"/>
    <n v="20"/>
    <d v="2011-09-01T00:00:00"/>
  </r>
  <r>
    <x v="8"/>
    <x v="44"/>
    <n v="70227"/>
    <n v="12070"/>
    <n v="7425"/>
    <n v="0.61516155758077884"/>
    <x v="1"/>
    <n v="2"/>
    <n v="110"/>
    <x v="0"/>
    <x v="0"/>
    <n v="30"/>
    <n v="44.083709460000001"/>
    <n v="98.4"/>
    <n v="67"/>
    <n v="174.7"/>
    <n v="2.468"/>
    <n v="12.7"/>
    <d v="2012-03-31T00:00:00"/>
  </r>
  <r>
    <x v="8"/>
    <x v="45"/>
    <n v="113369"/>
    <n v="21560"/>
    <n v="12760"/>
    <n v="0.59183673469387754"/>
    <x v="1"/>
    <n v="3.8"/>
    <n v="190"/>
    <x v="0"/>
    <x v="0"/>
    <n v="24"/>
    <n v="76.509184559999994"/>
    <n v="101.3"/>
    <n v="73.099999999999994"/>
    <n v="183.2"/>
    <n v="3.2029999999999998"/>
    <n v="15.7"/>
    <d v="2012-01-31T00:00:00"/>
  </r>
  <r>
    <x v="8"/>
    <x v="46"/>
    <n v="35068"/>
    <n v="17035"/>
    <n v="8835"/>
    <n v="0.5186380980334605"/>
    <x v="1"/>
    <n v="2.5"/>
    <n v="170"/>
    <x v="0"/>
    <x v="0"/>
    <n v="25"/>
    <n v="67.351010720000005"/>
    <n v="106.5"/>
    <n v="69.099999999999994"/>
    <n v="184.6"/>
    <n v="2.7690000000000001"/>
    <n v="15"/>
    <d v="2012-08-20T00:00:00"/>
  </r>
  <r>
    <x v="8"/>
    <x v="47"/>
    <n v="245815"/>
    <n v="17885"/>
    <n v="10055"/>
    <n v="0.56220296337713171"/>
    <x v="1"/>
    <n v="3"/>
    <n v="155"/>
    <x v="0"/>
    <x v="0"/>
    <n v="24"/>
    <n v="62.503739500000002"/>
    <n v="108.5"/>
    <n v="73"/>
    <n v="197.6"/>
    <n v="3.3679999999999999"/>
    <n v="16"/>
    <d v="2011-12-20T00:00:00"/>
  </r>
  <r>
    <x v="8"/>
    <x v="48"/>
    <n v="175670"/>
    <n v="12315"/>
    <n v="8670"/>
    <n v="0.7040194884287454"/>
    <x v="0"/>
    <n v="2"/>
    <n v="107"/>
    <x v="0"/>
    <x v="0"/>
    <n v="30"/>
    <n v="43.117132009999999"/>
    <n v="103"/>
    <n v="66.900000000000006"/>
    <n v="174.8"/>
    <n v="2.5640000000000001"/>
    <n v="13.2"/>
    <d v="2012-07-22T00:00:00"/>
  </r>
  <r>
    <x v="8"/>
    <x v="49"/>
    <n v="63403"/>
    <n v="22195"/>
    <n v="14210"/>
    <n v="0.64023428700157692"/>
    <x v="1"/>
    <n v="4.5999999999999996"/>
    <n v="200"/>
    <x v="0"/>
    <x v="0"/>
    <n v="21"/>
    <n v="80.499536710000001"/>
    <n v="114.7"/>
    <n v="78.2"/>
    <n v="212"/>
    <n v="3.9079999999999999"/>
    <n v="19"/>
    <d v="2011-09-26T00:00:00"/>
  </r>
  <r>
    <x v="8"/>
    <x v="50"/>
    <n v="276747"/>
    <n v="31930"/>
    <n v="16640"/>
    <n v="0.52113999373629816"/>
    <x v="1"/>
    <n v="4"/>
    <n v="210"/>
    <x v="0"/>
    <x v="1"/>
    <n v="19"/>
    <n v="87.635495779999999"/>
    <n v="111.6"/>
    <n v="70.2"/>
    <n v="190.7"/>
    <n v="3.8759999999999999"/>
    <n v="21"/>
    <d v="2012-04-25T00:00:00"/>
  </r>
  <r>
    <x v="8"/>
    <x v="51"/>
    <n v="155787"/>
    <n v="21410"/>
    <n v="13175"/>
    <n v="0.6153666510976179"/>
    <x v="1"/>
    <n v="3"/>
    <n v="150"/>
    <x v="0"/>
    <x v="1"/>
    <n v="21"/>
    <n v="62.095048390000002"/>
    <n v="120.7"/>
    <n v="76.599999999999994"/>
    <n v="200.9"/>
    <n v="3.7610000000000001"/>
    <n v="26"/>
    <d v="2012-02-25T00:00:00"/>
  </r>
  <r>
    <x v="8"/>
    <x v="52"/>
    <n v="125338"/>
    <n v="36135"/>
    <n v="23575"/>
    <n v="0.65241455652414559"/>
    <x v="1"/>
    <n v="4.5999999999999996"/>
    <n v="240"/>
    <x v="0"/>
    <x v="1"/>
    <n v="16"/>
    <n v="100.0248023"/>
    <n v="119"/>
    <n v="78.7"/>
    <n v="204.6"/>
    <n v="4.8079999999999998"/>
    <n v="26"/>
    <d v="2012-09-14T00:00:00"/>
  </r>
  <r>
    <x v="8"/>
    <x v="53"/>
    <n v="220650"/>
    <n v="12050"/>
    <n v="7850"/>
    <n v="0.65145228215767637"/>
    <x v="1"/>
    <n v="2.5"/>
    <n v="119"/>
    <x v="0"/>
    <x v="1"/>
    <n v="23"/>
    <n v="47.389531310000002"/>
    <n v="117.5"/>
    <n v="69.400000000000006"/>
    <n v="200.7"/>
    <n v="3.0859999999999999"/>
    <n v="20"/>
    <d v="2012-01-14T00:00:00"/>
  </r>
  <r>
    <x v="8"/>
    <x v="54"/>
    <n v="540561"/>
    <n v="26935"/>
    <n v="15075"/>
    <n v="0.55968071282717657"/>
    <x v="1"/>
    <n v="4.5999999999999996"/>
    <n v="220"/>
    <x v="0"/>
    <x v="1"/>
    <n v="18"/>
    <n v="89.401934729999994"/>
    <n v="138.5"/>
    <n v="79.099999999999994"/>
    <n v="224.5"/>
    <n v="4.2409999999999997"/>
    <n v="25.1"/>
    <d v="2012-08-16T00:00:00"/>
  </r>
  <r>
    <x v="9"/>
    <x v="55"/>
    <n v="199685"/>
    <n v="12885"/>
    <n v="9850"/>
    <n v="0.76445479239425684"/>
    <x v="0"/>
    <n v="1.6"/>
    <n v="106"/>
    <x v="0"/>
    <x v="0"/>
    <n v="32"/>
    <n v="42.879097340000001"/>
    <n v="103.2"/>
    <n v="67.099999999999994"/>
    <n v="175.1"/>
    <n v="2.339"/>
    <n v="11.9"/>
    <d v="2011-10-21T00:00:00"/>
  </r>
  <r>
    <x v="9"/>
    <x v="56"/>
    <n v="230902"/>
    <n v="15350"/>
    <n v="13210"/>
    <n v="0.86058631921824102"/>
    <x v="0"/>
    <n v="2.2999999999999998"/>
    <n v="135"/>
    <x v="0"/>
    <x v="0"/>
    <n v="27"/>
    <n v="54.269548290000003"/>
    <n v="106.9"/>
    <n v="70.3"/>
    <n v="188.8"/>
    <n v="2.9319999999999999"/>
    <n v="17.100000000000001"/>
    <d v="2012-05-20T00:00:00"/>
  </r>
  <r>
    <x v="9"/>
    <x v="57"/>
    <n v="73203"/>
    <n v="20550"/>
    <n v="17710"/>
    <n v="0.8618004866180049"/>
    <x v="0"/>
    <n v="2"/>
    <n v="146"/>
    <x v="0"/>
    <x v="1"/>
    <n v="24"/>
    <n v="60.087966620000003"/>
    <n v="103.2"/>
    <n v="68.900000000000006"/>
    <n v="177.6"/>
    <n v="3.2189999999999999"/>
    <n v="15.3"/>
    <d v="2012-03-21T00:00:00"/>
  </r>
  <r>
    <x v="9"/>
    <x v="58"/>
    <n v="12855"/>
    <n v="26600"/>
    <n v="17525"/>
    <n v="0.65883458646616544"/>
    <x v="1"/>
    <n v="3.2"/>
    <n v="205"/>
    <x v="0"/>
    <x v="1"/>
    <n v="19"/>
    <n v="83.602500800000001"/>
    <n v="106.4"/>
    <n v="70.400000000000006"/>
    <n v="178.2"/>
    <n v="3.8570000000000002"/>
    <n v="21.1"/>
    <d v="2012-10-09T00:00:00"/>
  </r>
  <r>
    <x v="9"/>
    <x v="59"/>
    <n v="76029"/>
    <n v="26000"/>
    <n v="19490"/>
    <n v="0.74961538461538457"/>
    <x v="0"/>
    <n v="3.5"/>
    <n v="210"/>
    <x v="0"/>
    <x v="1"/>
    <n v="23"/>
    <n v="85.217691340000002"/>
    <n v="118.1"/>
    <n v="75.599999999999994"/>
    <n v="201.2"/>
    <n v="4.2880000000000003"/>
    <n v="20"/>
    <d v="2012-02-08T00:00:00"/>
  </r>
  <r>
    <x v="10"/>
    <x v="60"/>
    <n v="41184"/>
    <n v="9699"/>
    <n v="5860"/>
    <n v="0.6041859985565522"/>
    <x v="1"/>
    <n v="1.5"/>
    <n v="92"/>
    <x v="2"/>
    <x v="0"/>
    <n v="31"/>
    <n v="36.672283579999998"/>
    <n v="96.1"/>
    <n v="65.7"/>
    <n v="166.7"/>
    <n v="2.2400000000000002"/>
    <n v="11.9"/>
    <d v="2012-09-10T00:00:00"/>
  </r>
  <r>
    <x v="10"/>
    <x v="61"/>
    <n v="66692"/>
    <n v="11799"/>
    <n v="7825"/>
    <n v="0.66319179591490807"/>
    <x v="1"/>
    <n v="2"/>
    <n v="140"/>
    <x v="0"/>
    <x v="0"/>
    <n v="27"/>
    <n v="54.590045160000003"/>
    <n v="100.4"/>
    <n v="66.900000000000006"/>
    <n v="174"/>
    <n v="2.6259999999999999"/>
    <n v="14.5"/>
    <d v="2011-11-15T00:00:00"/>
  </r>
  <r>
    <x v="10"/>
    <x v="62"/>
    <n v="29450"/>
    <n v="14999"/>
    <n v="8910"/>
    <n v="0.59403960264017597"/>
    <x v="1"/>
    <n v="2.4"/>
    <n v="148"/>
    <x v="0"/>
    <x v="0"/>
    <n v="25"/>
    <n v="58.758248999999999"/>
    <n v="106.3"/>
    <n v="71.599999999999994"/>
    <n v="185.4"/>
    <n v="3.0720000000000001"/>
    <n v="17.2"/>
    <d v="2012-06-14T00:00:00"/>
  </r>
  <r>
    <x v="11"/>
    <x v="63"/>
    <n v="23713"/>
    <n v="29465"/>
    <n v="19690"/>
    <n v="0.66825046665535381"/>
    <x v="1"/>
    <n v="3"/>
    <n v="227"/>
    <x v="0"/>
    <x v="0"/>
    <n v="25"/>
    <n v="92.436889230000006"/>
    <n v="108.3"/>
    <n v="70.2"/>
    <n v="193.7"/>
    <n v="3.3420000000000001"/>
    <n v="18.5"/>
    <d v="2012-04-15T00:00:00"/>
  </r>
  <r>
    <x v="12"/>
    <x v="64"/>
    <n v="15467"/>
    <n v="42800"/>
    <n v="33219"/>
    <n v="0.77614485981308412"/>
    <x v="0"/>
    <n v="3"/>
    <n v="240"/>
    <x v="0"/>
    <x v="0"/>
    <n v="21"/>
    <n v="102.17898479999999"/>
    <n v="114.5"/>
    <n v="71.599999999999994"/>
    <n v="191.3"/>
    <n v="3.65"/>
    <n v="18.399999999999999"/>
    <d v="2012-11-03T00:00:00"/>
  </r>
  <r>
    <x v="13"/>
    <x v="65"/>
    <n v="55557"/>
    <n v="14460"/>
    <n v="13475"/>
    <n v="0.931881051175657"/>
    <x v="0"/>
    <n v="2.5"/>
    <n v="120"/>
    <x v="0"/>
    <x v="1"/>
    <n v="17"/>
    <n v="48.672897910000003"/>
    <n v="93.4"/>
    <n v="66.7"/>
    <n v="152"/>
    <n v="3.0449999999999999"/>
    <n v="19"/>
    <d v="2012-03-04T00:00:00"/>
  </r>
  <r>
    <x v="13"/>
    <x v="66"/>
    <n v="80556"/>
    <n v="21620"/>
    <n v="13775"/>
    <n v="0.63714153561517117"/>
    <x v="1"/>
    <n v="4"/>
    <n v="190"/>
    <x v="0"/>
    <x v="1"/>
    <n v="20"/>
    <n v="76.584439619999998"/>
    <n v="101.4"/>
    <n v="69.400000000000006"/>
    <n v="167.5"/>
    <n v="3.194"/>
    <n v="20"/>
    <d v="2012-10-05T00:00:00"/>
  </r>
  <r>
    <x v="13"/>
    <x v="67"/>
    <n v="157040"/>
    <n v="26895"/>
    <n v="18810"/>
    <n v="0.69938650306748462"/>
    <x v="0"/>
    <n v="4"/>
    <n v="195"/>
    <x v="0"/>
    <x v="1"/>
    <n v="19"/>
    <n v="80.387779120000005"/>
    <n v="105.9"/>
    <n v="72.3"/>
    <n v="181.5"/>
    <n v="3.88"/>
    <n v="20.5"/>
    <d v="2011-12-10T00:00:00"/>
  </r>
  <r>
    <x v="14"/>
    <x v="68"/>
    <n v="24072"/>
    <n v="31505"/>
    <n v="26975"/>
    <n v="0.85621329947627356"/>
    <x v="0"/>
    <n v="3"/>
    <n v="210"/>
    <x v="0"/>
    <x v="0"/>
    <n v="23"/>
    <n v="87.211001039999999"/>
    <n v="105.1"/>
    <n v="70.5"/>
    <n v="190.2"/>
    <n v="3.3730000000000002"/>
    <n v="18.5"/>
    <d v="2012-07-09T00:00:00"/>
  </r>
  <r>
    <x v="14"/>
    <x v="69"/>
    <n v="12698"/>
    <n v="37805"/>
    <n v="32075.000000000004"/>
    <n v="0.8484327469911388"/>
    <x v="0"/>
    <n v="3"/>
    <n v="225"/>
    <x v="0"/>
    <x v="0"/>
    <n v="23"/>
    <n v="94.946698400000002"/>
    <n v="110.2"/>
    <n v="70.900000000000006"/>
    <n v="189.2"/>
    <n v="3.6379999999999999"/>
    <n v="19.8"/>
    <d v="2012-05-10T00:00:00"/>
  </r>
  <r>
    <x v="14"/>
    <x v="70"/>
    <n v="3334"/>
    <n v="46305"/>
    <n v="38955"/>
    <n v="0.84126984126984128"/>
    <x v="0"/>
    <n v="4"/>
    <n v="300"/>
    <x v="1"/>
    <x v="0"/>
    <n v="21"/>
    <n v="125.0133574"/>
    <n v="110.2"/>
    <n v="70.900000000000006"/>
    <n v="189.2"/>
    <n v="3.6930000000000001"/>
    <n v="19.8"/>
    <d v="2012-11-28T00:00:00"/>
  </r>
  <r>
    <x v="14"/>
    <x v="71"/>
    <n v="6375"/>
    <n v="54005"/>
    <n v="40375"/>
    <n v="0.74761596148504772"/>
    <x v="0"/>
    <n v="4"/>
    <n v="290"/>
    <x v="0"/>
    <x v="0"/>
    <n v="22"/>
    <n v="124.44671630000001"/>
    <n v="112.2"/>
    <n v="72"/>
    <n v="196.7"/>
    <n v="3.89"/>
    <n v="22.5"/>
    <d v="2012-03-29T00:00:00"/>
  </r>
  <r>
    <x v="14"/>
    <x v="72"/>
    <n v="9126"/>
    <n v="60105"/>
    <n v="43870"/>
    <n v="0.72988936028616591"/>
    <x v="0"/>
    <n v="4.7"/>
    <n v="230"/>
    <x v="0"/>
    <x v="1"/>
    <n v="15"/>
    <n v="105.760458"/>
    <n v="112.2"/>
    <n v="76.400000000000006"/>
    <n v="192.5"/>
    <n v="5.4009999999999998"/>
    <n v="25.4"/>
    <d v="2012-10-30T00:00:00"/>
  </r>
  <r>
    <x v="14"/>
    <x v="73"/>
    <n v="51238"/>
    <n v="34605"/>
    <n v="29140"/>
    <n v="0.84207484467562488"/>
    <x v="0"/>
    <n v="3"/>
    <n v="220"/>
    <x v="0"/>
    <x v="1"/>
    <n v="21"/>
    <n v="91.943801559999997"/>
    <n v="103"/>
    <n v="71.5"/>
    <n v="180.1"/>
    <n v="3.9"/>
    <n v="17.2"/>
    <d v="2012-01-04T00:00:00"/>
  </r>
  <r>
    <x v="15"/>
    <x v="74"/>
    <n v="13798"/>
    <n v="39080"/>
    <n v="20525"/>
    <n v="0.52520470829068577"/>
    <x v="1"/>
    <n v="4.5999999999999996"/>
    <n v="275"/>
    <x v="0"/>
    <x v="0"/>
    <n v="22"/>
    <n v="113.5402069"/>
    <n v="109"/>
    <n v="73.599999999999994"/>
    <n v="208.5"/>
    <n v="3.8679999999999999"/>
    <n v="20"/>
    <d v="2012-08-03T00:00:00"/>
  </r>
  <r>
    <x v="15"/>
    <x v="75"/>
    <n v="48911"/>
    <n v="43330"/>
    <n v="21725"/>
    <n v="0.5013847219016847"/>
    <x v="1"/>
    <n v="4.5999999999999996"/>
    <n v="215"/>
    <x v="0"/>
    <x v="0"/>
    <n v="21"/>
    <n v="93.957916900000001"/>
    <n v="117.7"/>
    <n v="78.2"/>
    <n v="215.3"/>
    <n v="4.1210000000000004"/>
    <n v="19"/>
    <d v="2012-06-04T00:00:00"/>
  </r>
  <r>
    <x v="15"/>
    <x v="76"/>
    <n v="22925"/>
    <n v="42660"/>
    <n v="20765"/>
    <n v="0.48675574308485703"/>
    <x v="1"/>
    <n v="5.4"/>
    <n v="300"/>
    <x v="1"/>
    <x v="1"/>
    <n v="15"/>
    <n v="123.97204670000001"/>
    <n v="119"/>
    <n v="79.900000000000006"/>
    <n v="204.8"/>
    <n v="5.3929999999999998"/>
    <n v="30"/>
    <d v="2012-12-23T00:00:00"/>
  </r>
  <r>
    <x v="16"/>
    <x v="77"/>
    <n v="26232"/>
    <n v="13987"/>
    <n v="8325"/>
    <n v="0.59519553871452058"/>
    <x v="1"/>
    <n v="1.8"/>
    <n v="113"/>
    <x v="0"/>
    <x v="0"/>
    <n v="30"/>
    <n v="45.832180559999998"/>
    <n v="98.4"/>
    <n v="66.5"/>
    <n v="173.6"/>
    <n v="2.25"/>
    <n v="13.2"/>
    <d v="2012-04-23T00:00:00"/>
  </r>
  <r>
    <x v="16"/>
    <x v="78"/>
    <n v="42541"/>
    <n v="19047"/>
    <n v="10395"/>
    <n v="0.54575523704520401"/>
    <x v="1"/>
    <n v="2.4"/>
    <n v="154"/>
    <x v="0"/>
    <x v="0"/>
    <n v="24"/>
    <n v="62.441962349999997"/>
    <n v="100.8"/>
    <n v="68.900000000000006"/>
    <n v="175.4"/>
    <n v="2.91"/>
    <n v="15.9"/>
    <d v="2012-11-24T00:00:00"/>
  </r>
  <r>
    <x v="16"/>
    <x v="79"/>
    <n v="55616"/>
    <n v="17357"/>
    <n v="10595"/>
    <n v="0.61041654663824396"/>
    <x v="1"/>
    <n v="2.4"/>
    <n v="145"/>
    <x v="0"/>
    <x v="0"/>
    <n v="25"/>
    <n v="58.606772919999997"/>
    <n v="103.7"/>
    <n v="68.5"/>
    <n v="187.8"/>
    <n v="2.9449999999999998"/>
    <n v="16.3"/>
    <d v="2012-01-29T00:00:00"/>
  </r>
  <r>
    <x v="16"/>
    <x v="80"/>
    <n v="5711"/>
    <n v="24997"/>
    <n v="16575"/>
    <n v="0.66307956954834579"/>
    <x v="1"/>
    <n v="3.5"/>
    <n v="210"/>
    <x v="0"/>
    <x v="0"/>
    <n v="22"/>
    <n v="84.83077858"/>
    <n v="107.1"/>
    <n v="70.3"/>
    <n v="194.1"/>
    <n v="3.4430000000000001"/>
    <n v="19"/>
    <d v="2012-08-28T00:00:00"/>
  </r>
  <r>
    <x v="16"/>
    <x v="81"/>
    <n v="110"/>
    <n v="25450"/>
    <n v="20940"/>
    <n v="0.82278978388998036"/>
    <x v="0"/>
    <n v="3"/>
    <n v="161"/>
    <x v="0"/>
    <x v="0"/>
    <n v="21"/>
    <n v="67.544154939999999"/>
    <n v="97.2"/>
    <n v="72.400000000000006"/>
    <n v="180.3"/>
    <n v="3.1309999999999998"/>
    <n v="19.8"/>
    <d v="2012-06-29T00:00:00"/>
  </r>
  <r>
    <x v="16"/>
    <x v="82"/>
    <n v="11337"/>
    <n v="31807"/>
    <n v="19125"/>
    <n v="0.601282736504543"/>
    <x v="1"/>
    <n v="3.5"/>
    <n v="200"/>
    <x v="0"/>
    <x v="1"/>
    <n v="18"/>
    <n v="83.920815039999994"/>
    <n v="107.3"/>
    <n v="69.900000000000006"/>
    <n v="186.6"/>
    <n v="4.5199999999999996"/>
    <n v="24.3"/>
    <d v="2012-01-17T00:00:00"/>
  </r>
  <r>
    <x v="16"/>
    <x v="83"/>
    <n v="39348"/>
    <n v="22527"/>
    <n v="13880"/>
    <n v="0.6161495094775159"/>
    <x v="1"/>
    <n v="3"/>
    <n v="173"/>
    <x v="0"/>
    <x v="1"/>
    <n v="20"/>
    <n v="70.660941789999995"/>
    <n v="107.3"/>
    <n v="66.7"/>
    <n v="178.3"/>
    <n v="3.51"/>
    <n v="19.5"/>
    <d v="2012-05-18T00:00:00"/>
  </r>
  <r>
    <x v="17"/>
    <x v="84"/>
    <n v="14351"/>
    <n v="16239.999999999998"/>
    <n v="8800"/>
    <n v="0.54187192118226613"/>
    <x v="1"/>
    <n v="2"/>
    <n v="125"/>
    <x v="0"/>
    <x v="0"/>
    <n v="28"/>
    <n v="50.997747609999998"/>
    <n v="106.5"/>
    <n v="69.099999999999994"/>
    <n v="184.8"/>
    <n v="2.7690000000000001"/>
    <n v="15"/>
    <d v="2012-12-19T00:00:00"/>
  </r>
  <r>
    <x v="17"/>
    <x v="85"/>
    <n v="26529"/>
    <n v="16540"/>
    <n v="13890"/>
    <n v="0.83978234582829503"/>
    <x v="0"/>
    <n v="2"/>
    <n v="125"/>
    <x v="0"/>
    <x v="0"/>
    <n v="30"/>
    <n v="51.113474259999997"/>
    <n v="106.4"/>
    <n v="69.599999999999994"/>
    <n v="185"/>
    <n v="2.8919999999999999"/>
    <n v="16"/>
    <d v="2012-02-23T00:00:00"/>
  </r>
  <r>
    <x v="17"/>
    <x v="86"/>
    <n v="67956"/>
    <n v="19035"/>
    <n v="11030"/>
    <n v="0.57945889151562913"/>
    <x v="1"/>
    <n v="3"/>
    <n v="153"/>
    <x v="0"/>
    <x v="0"/>
    <n v="24"/>
    <n v="62.239966629999998"/>
    <n v="108.5"/>
    <n v="73"/>
    <n v="199.7"/>
    <n v="3.379"/>
    <n v="16"/>
    <d v="2012-09-22T00:00:00"/>
  </r>
  <r>
    <x v="17"/>
    <x v="87"/>
    <n v="81174"/>
    <n v="22605"/>
    <n v="14875"/>
    <n v="0.65804025658040255"/>
    <x v="1"/>
    <n v="4.5999999999999996"/>
    <n v="200"/>
    <x v="0"/>
    <x v="0"/>
    <n v="21"/>
    <n v="80.657696459999997"/>
    <n v="114.7"/>
    <n v="78.2"/>
    <n v="212"/>
    <n v="3.9580000000000002"/>
    <n v="19"/>
    <d v="2012-07-24T00:00:00"/>
  </r>
  <r>
    <x v="17"/>
    <x v="88"/>
    <n v="27609"/>
    <n v="27560"/>
    <n v="20430"/>
    <n v="0.74129172714078373"/>
    <x v="0"/>
    <n v="4"/>
    <n v="210"/>
    <x v="0"/>
    <x v="1"/>
    <n v="18"/>
    <n v="85.949744249999995"/>
    <n v="111.6"/>
    <n v="70.2"/>
    <n v="190.1"/>
    <n v="3.8759999999999999"/>
    <n v="21"/>
    <d v="2008-02-13T00:00:00"/>
  </r>
  <r>
    <x v="17"/>
    <x v="89"/>
    <n v="20380"/>
    <n v="22510"/>
    <n v="14795"/>
    <n v="0.65726343847179036"/>
    <x v="1"/>
    <n v="3.3"/>
    <n v="170"/>
    <x v="0"/>
    <x v="1"/>
    <n v="21"/>
    <n v="69.671460999999994"/>
    <n v="112.2"/>
    <n v="74.900000000000006"/>
    <n v="194.7"/>
    <n v="3.944"/>
    <n v="20"/>
    <d v="2009-10-20T00:00:00"/>
  </r>
  <r>
    <x v="18"/>
    <x v="90"/>
    <n v="18392"/>
    <n v="31750"/>
    <n v="26050"/>
    <n v="0.82047244094488192"/>
    <x v="0"/>
    <n v="2.2999999999999998"/>
    <n v="185"/>
    <x v="0"/>
    <x v="0"/>
    <n v="26"/>
    <n v="78.280730879999993"/>
    <n v="105.9"/>
    <n v="67.7"/>
    <n v="177.4"/>
    <n v="3.25"/>
    <n v="16.399999999999999"/>
    <d v="2011-04-24T00:00:00"/>
  </r>
  <r>
    <x v="18"/>
    <x v="91"/>
    <n v="27602"/>
    <n v="49900"/>
    <n v="41450"/>
    <n v="0.83066132264529058"/>
    <x v="0"/>
    <n v="3.2"/>
    <n v="221"/>
    <x v="0"/>
    <x v="0"/>
    <n v="25"/>
    <n v="98.249737499999995"/>
    <n v="111.5"/>
    <n v="70.8"/>
    <n v="189.4"/>
    <n v="3.823"/>
    <n v="21.1"/>
    <d v="2011-07-12T00:00:00"/>
  </r>
  <r>
    <x v="18"/>
    <x v="92"/>
    <n v="16774"/>
    <n v="69700"/>
    <n v="50375"/>
    <n v="0.72274031563845054"/>
    <x v="0"/>
    <n v="4.3"/>
    <n v="275"/>
    <x v="0"/>
    <x v="0"/>
    <n v="21"/>
    <n v="125.2738757"/>
    <n v="121.5"/>
    <n v="73.099999999999994"/>
    <n v="203.1"/>
    <n v="4.133"/>
    <n v="23.2"/>
    <d v="2011-06-13T00:00:00"/>
  </r>
  <r>
    <x v="18"/>
    <x v="93"/>
    <n v="3311"/>
    <n v="82600"/>
    <n v="58600"/>
    <n v="0.70944309927360771"/>
    <x v="0"/>
    <n v="5"/>
    <n v="302"/>
    <x v="1"/>
    <x v="0"/>
    <n v="20"/>
    <n v="139.98229359999999"/>
    <n v="99"/>
    <n v="71.3"/>
    <n v="177.1"/>
    <n v="4.125"/>
    <n v="21.1"/>
    <d v="2011-03-17T00:00:00"/>
  </r>
  <r>
    <x v="18"/>
    <x v="94"/>
    <n v="7998"/>
    <n v="38900"/>
    <n v="32436"/>
    <n v="0.83383033419023134"/>
    <x v="0"/>
    <n v="2.2999999999999998"/>
    <n v="190"/>
    <x v="0"/>
    <x v="0"/>
    <n v="26"/>
    <n v="82.807361929999999"/>
    <n v="94.5"/>
    <n v="67.5"/>
    <n v="157.9"/>
    <n v="3.0550000000000002"/>
    <n v="15.9"/>
    <d v="2011-01-16T00:00:00"/>
  </r>
  <r>
    <x v="18"/>
    <x v="95"/>
    <n v="1526"/>
    <n v="41000"/>
    <n v="28635"/>
    <n v="0.69841463414634142"/>
    <x v="0"/>
    <n v="2.2999999999999998"/>
    <n v="185"/>
    <x v="0"/>
    <x v="0"/>
    <n v="27"/>
    <n v="81.848969240000002"/>
    <n v="94.5"/>
    <n v="67.5"/>
    <n v="157.30000000000001"/>
    <n v="2.9750000000000001"/>
    <n v="14"/>
    <d v="2011-08-06T00:00:00"/>
  </r>
  <r>
    <x v="18"/>
    <x v="96"/>
    <n v="11592"/>
    <n v="41600"/>
    <n v="29200"/>
    <n v="0.70192307692307687"/>
    <x v="0"/>
    <n v="3.2"/>
    <n v="215"/>
    <x v="0"/>
    <x v="0"/>
    <n v="26"/>
    <n v="92.925791770000004"/>
    <n v="105.9"/>
    <n v="67.8"/>
    <n v="180.3"/>
    <n v="3.2130000000000001"/>
    <n v="16.399999999999999"/>
    <d v="2011-07-08T00:00:00"/>
  </r>
  <r>
    <x v="18"/>
    <x v="97"/>
    <n v="954"/>
    <n v="85500"/>
    <n v="63423"/>
    <n v="0.74178947368421055"/>
    <x v="0"/>
    <n v="5"/>
    <n v="302"/>
    <x v="1"/>
    <x v="0"/>
    <n v="20"/>
    <n v="141.10098450000001"/>
    <n v="113.6"/>
    <n v="73.099999999999994"/>
    <n v="196.6"/>
    <n v="4.1150000000000002"/>
    <n v="23.2"/>
    <d v="2011-04-11T00:00:00"/>
  </r>
  <r>
    <x v="18"/>
    <x v="98"/>
    <n v="28976"/>
    <n v="35300"/>
    <n v="28720"/>
    <n v="0.81359773371104815"/>
    <x v="0"/>
    <n v="3.2"/>
    <n v="215"/>
    <x v="0"/>
    <x v="1"/>
    <n v="20"/>
    <n v="90.495532130000001"/>
    <n v="111"/>
    <n v="72.2"/>
    <n v="180.6"/>
    <n v="4.3869999999999996"/>
    <n v="19"/>
    <d v="2011-02-10T00:00:00"/>
  </r>
  <r>
    <x v="19"/>
    <x v="99"/>
    <n v="42643"/>
    <n v="13499"/>
    <n v="8450"/>
    <n v="0.62597229424401812"/>
    <x v="1"/>
    <n v="1.8"/>
    <n v="126"/>
    <x v="0"/>
    <x v="0"/>
    <n v="30"/>
    <n v="50.241977910000003"/>
    <n v="99.8"/>
    <n v="67.3"/>
    <n v="177.5"/>
    <n v="2.593"/>
    <n v="13.2"/>
    <d v="2011-08-31T00:00:00"/>
  </r>
  <r>
    <x v="19"/>
    <x v="100"/>
    <n v="88094"/>
    <n v="20390"/>
    <n v="11295"/>
    <n v="0.55394801373222169"/>
    <x v="1"/>
    <n v="2.4"/>
    <n v="155"/>
    <x v="0"/>
    <x v="0"/>
    <n v="25"/>
    <n v="63.313727829999998"/>
    <n v="103.1"/>
    <n v="69.099999999999994"/>
    <n v="183.5"/>
    <n v="3.012"/>
    <n v="15.9"/>
    <d v="2011-08-02T00:00:00"/>
  </r>
  <r>
    <x v="19"/>
    <x v="101"/>
    <n v="79853"/>
    <n v="26249"/>
    <n v="15125"/>
    <n v="0.57621242714008147"/>
    <x v="1"/>
    <n v="3"/>
    <n v="222"/>
    <x v="0"/>
    <x v="0"/>
    <n v="25"/>
    <n v="89.427820310000001"/>
    <n v="108.3"/>
    <n v="70.3"/>
    <n v="190.5"/>
    <n v="3.294"/>
    <n v="18.5"/>
    <d v="2011-05-06T00:00:00"/>
  </r>
  <r>
    <x v="19"/>
    <x v="102"/>
    <n v="27308"/>
    <n v="26399"/>
    <n v="15380"/>
    <n v="0.58259782567521501"/>
    <x v="1"/>
    <n v="3.3"/>
    <n v="170"/>
    <x v="0"/>
    <x v="1"/>
    <n v="21"/>
    <n v="71.171664129999996"/>
    <n v="112.2"/>
    <n v="74.900000000000006"/>
    <n v="194.8"/>
    <n v="3.9910000000000001"/>
    <n v="20"/>
    <d v="2011-03-07T00:00:00"/>
  </r>
  <r>
    <x v="19"/>
    <x v="103"/>
    <n v="42574"/>
    <n v="29299"/>
    <n v="17810"/>
    <n v="0.60787057578756953"/>
    <x v="1"/>
    <n v="3.3"/>
    <n v="170"/>
    <x v="0"/>
    <x v="1"/>
    <n v="19"/>
    <n v="72.290355079999998"/>
    <n v="106.3"/>
    <n v="71.7"/>
    <n v="182.6"/>
    <n v="3.9470000000000001"/>
    <n v="21"/>
    <d v="2011-09-25T00:00:00"/>
  </r>
  <r>
    <x v="19"/>
    <x v="104"/>
    <n v="54158"/>
    <n v="22799"/>
    <n v="13093"/>
    <n v="0.57427957366551163"/>
    <x v="1"/>
    <n v="3.3"/>
    <n v="170"/>
    <x v="0"/>
    <x v="1"/>
    <n v="18"/>
    <n v="69.78294434"/>
    <n v="104.3"/>
    <n v="70.400000000000006"/>
    <n v="178"/>
    <n v="3.8210000000000002"/>
    <n v="19.399999999999999"/>
    <d v="2011-01-24T00:00:00"/>
  </r>
  <r>
    <x v="19"/>
    <x v="105"/>
    <n v="65004.999999999993"/>
    <n v="17890"/>
    <n v="10670"/>
    <n v="0.59642258244829516"/>
    <x v="1"/>
    <n v="3.3"/>
    <n v="170"/>
    <x v="0"/>
    <x v="1"/>
    <n v="18"/>
    <n v="67.889270589999995"/>
    <n v="116.1"/>
    <n v="66.5"/>
    <n v="196.1"/>
    <n v="3.2170000000000001"/>
    <n v="19.399999999999999"/>
    <d v="2011-08-27T00:00:00"/>
  </r>
  <r>
    <x v="20"/>
    <x v="106"/>
    <n v="1112"/>
    <n v="18145"/>
    <n v="11240"/>
    <n v="0.61945439515017908"/>
    <x v="1"/>
    <n v="3.1"/>
    <n v="150"/>
    <x v="0"/>
    <x v="0"/>
    <n v="25"/>
    <n v="60.861611549999999"/>
    <n v="107"/>
    <n v="69.400000000000006"/>
    <n v="192"/>
    <n v="3.1019999999999999"/>
    <n v="15.2"/>
    <d v="2011-05-31T00:00:00"/>
  </r>
  <r>
    <x v="20"/>
    <x v="107"/>
    <n v="38554"/>
    <n v="24150"/>
    <n v="17100"/>
    <n v="0.70807453416149069"/>
    <x v="0"/>
    <n v="3.5"/>
    <n v="215"/>
    <x v="0"/>
    <x v="0"/>
    <n v="23"/>
    <n v="86.272522910000006"/>
    <n v="109"/>
    <n v="73.599999999999994"/>
    <n v="195.9"/>
    <n v="3.4550000000000001"/>
    <n v="18"/>
    <d v="2011-04-01T00:00:00"/>
  </r>
  <r>
    <x v="20"/>
    <x v="108"/>
    <n v="80255"/>
    <n v="18270"/>
    <n v="11459"/>
    <n v="0.62720306513409962"/>
    <x v="1"/>
    <n v="2.4"/>
    <n v="150"/>
    <x v="0"/>
    <x v="0"/>
    <n v="27"/>
    <n v="60.727446929999999"/>
    <n v="107"/>
    <n v="70.099999999999994"/>
    <n v="186.7"/>
    <n v="2.9580000000000002"/>
    <n v="15"/>
    <d v="2009-10-20T00:00:00"/>
  </r>
  <r>
    <x v="20"/>
    <x v="109"/>
    <n v="14690"/>
    <n v="36229"/>
    <n v="19890"/>
    <n v="0.54900770101300067"/>
    <x v="1"/>
    <n v="4"/>
    <n v="250"/>
    <x v="0"/>
    <x v="0"/>
    <n v="22"/>
    <n v="103.4416926"/>
    <n v="113.8"/>
    <n v="74.400000000000006"/>
    <n v="205.4"/>
    <n v="3.9670000000000001"/>
    <n v="18.5"/>
    <d v="2011-02-18T00:00:00"/>
  </r>
  <r>
    <x v="20"/>
    <x v="110"/>
    <n v="20017"/>
    <n v="31598"/>
    <n v="19925"/>
    <n v="0.63057788467624531"/>
    <x v="1"/>
    <n v="4.3"/>
    <n v="190"/>
    <x v="0"/>
    <x v="1"/>
    <n v="19"/>
    <n v="80.511672590000003"/>
    <n v="107"/>
    <n v="67.8"/>
    <n v="181.2"/>
    <n v="4.0679999999999996"/>
    <n v="17.5"/>
    <d v="2011-09-21T00:00:00"/>
  </r>
  <r>
    <x v="20"/>
    <x v="111"/>
    <n v="24361"/>
    <n v="25345"/>
    <n v="15240"/>
    <n v="0.60130203195896625"/>
    <x v="1"/>
    <n v="3.4"/>
    <n v="185"/>
    <x v="0"/>
    <x v="1"/>
    <n v="22"/>
    <n v="76.096570420000006"/>
    <n v="120"/>
    <n v="72.2"/>
    <n v="201.4"/>
    <n v="3.948"/>
    <n v="25"/>
    <d v="2011-06-25T00:00:00"/>
  </r>
  <r>
    <x v="21"/>
    <x v="33"/>
    <n v="32734"/>
    <n v="12640"/>
    <n v="7750"/>
    <n v="0.61313291139240511"/>
    <x v="1"/>
    <n v="2"/>
    <n v="132"/>
    <x v="0"/>
    <x v="0"/>
    <n v="29"/>
    <n v="52.084898750000001"/>
    <n v="105"/>
    <n v="74.400000000000006"/>
    <n v="174.4"/>
    <n v="2.5590000000000002"/>
    <n v="12.5"/>
    <d v="2011-04-26T00:00:00"/>
  </r>
  <r>
    <x v="21"/>
    <x v="112"/>
    <n v="5240"/>
    <n v="16079.999999999998"/>
    <n v="9800"/>
    <n v="0.60945273631840802"/>
    <x v="1"/>
    <n v="2"/>
    <n v="132"/>
    <x v="0"/>
    <x v="0"/>
    <n v="27"/>
    <n v="53.411897670000002"/>
    <n v="108"/>
    <n v="71"/>
    <n v="186.3"/>
    <n v="2.9420000000000002"/>
    <n v="16"/>
    <d v="2011-11-14T00:00:00"/>
  </r>
  <r>
    <x v="21"/>
    <x v="113"/>
    <n v="24155"/>
    <n v="18850"/>
    <n v="12025"/>
    <n v="0.63793103448275867"/>
    <x v="1"/>
    <n v="2.4"/>
    <n v="150"/>
    <x v="0"/>
    <x v="1"/>
    <n v="24"/>
    <n v="60.951185119999998"/>
    <n v="113.3"/>
    <n v="76.8"/>
    <n v="186.3"/>
    <n v="3.528"/>
    <n v="20"/>
    <d v="2011-04-24T00:00:00"/>
  </r>
  <r>
    <x v="21"/>
    <x v="114"/>
    <n v="1872"/>
    <n v="43000"/>
    <n v="30434"/>
    <n v="0.70776744186046514"/>
    <x v="0"/>
    <n v="3.5"/>
    <n v="253"/>
    <x v="0"/>
    <x v="0"/>
    <n v="21"/>
    <n v="106.98445630000001"/>
    <n v="113.3"/>
    <n v="76.3"/>
    <n v="165.4"/>
    <n v="2.85"/>
    <n v="12"/>
    <d v="2012-06-27T00:00:00"/>
  </r>
  <r>
    <x v="22"/>
    <x v="115"/>
    <n v="51645"/>
    <n v="21610"/>
    <n v="13790"/>
    <n v="0.6381304951411384"/>
    <x v="1"/>
    <n v="2.4"/>
    <n v="150"/>
    <x v="0"/>
    <x v="0"/>
    <n v="27"/>
    <n v="62.015870300000003"/>
    <n v="104.1"/>
    <n v="68.400000000000006"/>
    <n v="181.9"/>
    <n v="2.9060000000000001"/>
    <n v="15"/>
    <d v="2012-01-25T00:00:00"/>
  </r>
  <r>
    <x v="22"/>
    <x v="116"/>
    <n v="131097"/>
    <n v="19720"/>
    <n v="10290"/>
    <n v="0.52180527383367137"/>
    <x v="1"/>
    <n v="3.4"/>
    <n v="175"/>
    <x v="0"/>
    <x v="0"/>
    <n v="25"/>
    <n v="70.389737260000004"/>
    <n v="107"/>
    <n v="70.400000000000006"/>
    <n v="186.3"/>
    <n v="3.0910000000000002"/>
    <n v="15.2"/>
    <d v="2012-11-26T00:00:00"/>
  </r>
  <r>
    <x v="22"/>
    <x v="117"/>
    <n v="19911"/>
    <n v="25310"/>
    <n v="17805"/>
    <n v="0.70347688660608454"/>
    <x v="0"/>
    <n v="3.8"/>
    <n v="200"/>
    <x v="0"/>
    <x v="0"/>
    <n v="25"/>
    <n v="81.492726160000004"/>
    <n v="101.1"/>
    <n v="74.5"/>
    <n v="193.4"/>
    <n v="3.492"/>
    <n v="16.8"/>
    <d v="2012-06-16T00:00:00"/>
  </r>
  <r>
    <x v="22"/>
    <x v="118"/>
    <n v="92364"/>
    <n v="21665"/>
    <n v="14010"/>
    <n v="0.6466651280867759"/>
    <x v="1"/>
    <n v="3.8"/>
    <n v="195"/>
    <x v="0"/>
    <x v="0"/>
    <n v="25"/>
    <n v="78.318168130000004"/>
    <n v="110.5"/>
    <n v="72.7"/>
    <n v="196.5"/>
    <n v="3.3959999999999999"/>
    <n v="18"/>
    <d v="2012-10-15T00:00:00"/>
  </r>
  <r>
    <x v="22"/>
    <x v="119"/>
    <n v="35945"/>
    <n v="23755"/>
    <n v="13225"/>
    <n v="0.55672490002104824"/>
    <x v="1"/>
    <n v="3.8"/>
    <n v="205"/>
    <x v="0"/>
    <x v="0"/>
    <n v="24"/>
    <n v="82.661355599999993"/>
    <n v="112.2"/>
    <n v="72.599999999999994"/>
    <n v="202.5"/>
    <n v="3.59"/>
    <n v="17.5"/>
    <d v="2011-05-18T00:00:00"/>
  </r>
  <r>
    <x v="22"/>
    <x v="120"/>
    <n v="39572"/>
    <n v="25635"/>
    <n v="14215"/>
    <n v="0.55451531109810803"/>
    <x v="1"/>
    <n v="3.4"/>
    <n v="185"/>
    <x v="0"/>
    <x v="1"/>
    <n v="23"/>
    <n v="76.208439519999999"/>
    <n v="120"/>
    <n v="72.7"/>
    <n v="201.3"/>
    <n v="3.9420000000000002"/>
    <n v="25"/>
    <d v="2012-07-22T00:00:00"/>
  </r>
  <r>
    <x v="23"/>
    <x v="121"/>
    <n v="8982"/>
    <n v="41430"/>
    <n v="41250"/>
    <n v="0.99565532223026787"/>
    <x v="0"/>
    <n v="2.7"/>
    <n v="217"/>
    <x v="0"/>
    <x v="0"/>
    <n v="22"/>
    <n v="93.437330700000004"/>
    <n v="95.2"/>
    <n v="70.099999999999994"/>
    <n v="171"/>
    <n v="2.778"/>
    <n v="17"/>
    <d v="2012-02-19T00:00:00"/>
  </r>
  <r>
    <x v="23"/>
    <x v="122"/>
    <n v="1280"/>
    <n v="71020"/>
    <n v="60625"/>
    <n v="0.85363277949873273"/>
    <x v="0"/>
    <n v="3.4"/>
    <n v="300"/>
    <x v="1"/>
    <x v="0"/>
    <n v="21"/>
    <n v="134.3909754"/>
    <n v="92.6"/>
    <n v="69.5"/>
    <n v="174.5"/>
    <n v="3.032"/>
    <n v="17"/>
    <d v="2012-12-21T00:00:00"/>
  </r>
  <r>
    <x v="23"/>
    <x v="123"/>
    <n v="1866"/>
    <n v="74970"/>
    <n v="67550"/>
    <n v="0.90102707749766575"/>
    <x v="0"/>
    <n v="3.4"/>
    <n v="300"/>
    <x v="1"/>
    <x v="0"/>
    <n v="23"/>
    <n v="135.91470960000001"/>
    <n v="92.6"/>
    <n v="69.5"/>
    <n v="174.5"/>
    <n v="3.0750000000000002"/>
    <n v="17"/>
    <d v="2011-07-11T00:00:00"/>
  </r>
  <r>
    <x v="24"/>
    <x v="124"/>
    <n v="9191"/>
    <n v="33120"/>
    <n v="22789"/>
    <n v="0.68807367149758458"/>
    <x v="1"/>
    <n v="2.2999999999999998"/>
    <n v="170"/>
    <x v="0"/>
    <x v="0"/>
    <n v="23"/>
    <n v="73.503778190000006"/>
    <n v="106.4"/>
    <n v="70.599999999999994"/>
    <n v="189.2"/>
    <n v="3.28"/>
    <n v="18.5"/>
    <d v="2012-11-09T00:00:00"/>
  </r>
  <r>
    <x v="24"/>
    <x v="125"/>
    <n v="12115"/>
    <n v="26100"/>
    <n v="18255"/>
    <n v="0.69942528735632181"/>
    <x v="0"/>
    <n v="2"/>
    <n v="185"/>
    <x v="0"/>
    <x v="0"/>
    <n v="23"/>
    <n v="76.02304771"/>
    <n v="102.6"/>
    <n v="67.400000000000006"/>
    <n v="182.2"/>
    <n v="2.99"/>
    <n v="16.899999999999999"/>
    <d v="2011-06-12T00:00:00"/>
  </r>
  <r>
    <x v="25"/>
    <x v="126"/>
    <n v="80620"/>
    <n v="10685"/>
    <n v="9200"/>
    <n v="0.86102012166588671"/>
    <x v="0"/>
    <n v="1.9"/>
    <n v="100"/>
    <x v="0"/>
    <x v="0"/>
    <n v="33"/>
    <n v="39.986424749999998"/>
    <n v="102.4"/>
    <n v="66.400000000000006"/>
    <n v="176.9"/>
    <n v="2.3319999999999999"/>
    <n v="12.1"/>
    <d v="2012-08-16T00:00:00"/>
  </r>
  <r>
    <x v="25"/>
    <x v="127"/>
    <n v="24546"/>
    <n v="12535"/>
    <n v="10590"/>
    <n v="0.84483446350219382"/>
    <x v="0"/>
    <n v="1.9"/>
    <n v="100"/>
    <x v="0"/>
    <x v="0"/>
    <n v="33"/>
    <n v="40.700072419999998"/>
    <n v="102.4"/>
    <n v="66.400000000000006"/>
    <n v="180"/>
    <n v="2.367"/>
    <n v="12.1"/>
    <d v="2011-03-16T00:00:00"/>
  </r>
  <r>
    <x v="25"/>
    <x v="128"/>
    <n v="5223"/>
    <n v="14290"/>
    <n v="10790"/>
    <n v="0.75507347795661306"/>
    <x v="0"/>
    <n v="1.9"/>
    <n v="124"/>
    <x v="0"/>
    <x v="0"/>
    <n v="31"/>
    <n v="49.865773670000003"/>
    <n v="102.4"/>
    <n v="66.400000000000006"/>
    <n v="176.9"/>
    <n v="2.452"/>
    <n v="12.1"/>
    <d v="2011-01-15T00:00:00"/>
  </r>
  <r>
    <x v="25"/>
    <x v="129"/>
    <n v="8472"/>
    <n v="18835"/>
    <n v="13700"/>
    <n v="0.72736925935757901"/>
    <x v="0"/>
    <n v="2.2000000000000002"/>
    <n v="137"/>
    <x v="0"/>
    <x v="0"/>
    <n v="27"/>
    <n v="56.295243040000003"/>
    <n v="106.5"/>
    <n v="69"/>
    <n v="190.4"/>
    <n v="3.0750000000000002"/>
    <n v="13.1"/>
    <d v="2011-08-05T00:00:00"/>
  </r>
  <r>
    <x v="25"/>
    <x v="130"/>
    <n v="49989"/>
    <n v="15010"/>
    <n v="9900"/>
    <n v="0.65956029313790809"/>
    <x v="1"/>
    <n v="2.2000000000000002"/>
    <n v="137"/>
    <x v="0"/>
    <x v="0"/>
    <n v="28"/>
    <n v="54.819728249999997"/>
    <n v="106.5"/>
    <n v="69"/>
    <n v="190.4"/>
    <n v="2.91"/>
    <n v="13.1"/>
    <d v="2012-12-04T00:00:00"/>
  </r>
  <r>
    <x v="26"/>
    <x v="131"/>
    <n v="47107"/>
    <n v="22695"/>
    <n v="16770"/>
    <n v="0.73892927957699939"/>
    <x v="0"/>
    <n v="2.5"/>
    <n v="165"/>
    <x v="0"/>
    <x v="0"/>
    <n v="25"/>
    <n v="67.765907600000006"/>
    <n v="103.5"/>
    <n v="67.5"/>
    <n v="185.8"/>
    <n v="3.415"/>
    <n v="16.899999999999999"/>
    <d v="2011-07-07T00:00:00"/>
  </r>
  <r>
    <x v="26"/>
    <x v="132"/>
    <n v="33028"/>
    <n v="20095"/>
    <n v="14832"/>
    <n v="0.73809405324707644"/>
    <x v="0"/>
    <n v="2.5"/>
    <n v="165"/>
    <x v="0"/>
    <x v="1"/>
    <n v="24"/>
    <n v="66.762943309999997"/>
    <n v="99.4"/>
    <n v="68.3"/>
    <n v="175.2"/>
    <n v="3.125"/>
    <n v="15.9"/>
    <d v="2012-09-10T00:00:00"/>
  </r>
  <r>
    <x v="27"/>
    <x v="133"/>
    <n v="142535"/>
    <n v="13108"/>
    <n v="10025"/>
    <n v="0.76480012206286241"/>
    <x v="0"/>
    <n v="1.8"/>
    <n v="120"/>
    <x v="0"/>
    <x v="0"/>
    <n v="33"/>
    <n v="47.96897242"/>
    <n v="97"/>
    <n v="66.7"/>
    <n v="174"/>
    <n v="2.42"/>
    <n v="13.2"/>
    <d v="2011-04-11T00:00:00"/>
  </r>
  <r>
    <x v="27"/>
    <x v="134"/>
    <n v="247994"/>
    <n v="17518"/>
    <n v="13245"/>
    <n v="0.75607946112569924"/>
    <x v="0"/>
    <n v="2.2000000000000002"/>
    <n v="133"/>
    <x v="0"/>
    <x v="0"/>
    <n v="27"/>
    <n v="54.372419649999998"/>
    <n v="105.2"/>
    <n v="70.099999999999994"/>
    <n v="188.5"/>
    <n v="2.9980000000000002"/>
    <n v="18.5"/>
    <d v="2011-02-10T00:00:00"/>
  </r>
  <r>
    <x v="27"/>
    <x v="135"/>
    <n v="63849"/>
    <n v="25545"/>
    <n v="18140"/>
    <n v="0.71011939714229788"/>
    <x v="0"/>
    <n v="3"/>
    <n v="210"/>
    <x v="0"/>
    <x v="0"/>
    <n v="26"/>
    <n v="84.911898260000001"/>
    <n v="107.1"/>
    <n v="71.7"/>
    <n v="191.9"/>
    <n v="3.4169999999999998"/>
    <n v="18.5"/>
    <d v="2011-08-31T00:00:00"/>
  </r>
  <r>
    <x v="27"/>
    <x v="136"/>
    <n v="33269"/>
    <n v="16875"/>
    <n v="15445"/>
    <n v="0.91525925925925922"/>
    <x v="0"/>
    <n v="1.8"/>
    <n v="140"/>
    <x v="0"/>
    <x v="0"/>
    <n v="31"/>
    <n v="56.496030339999997"/>
    <n v="102.4"/>
    <n v="68.3"/>
    <n v="170.5"/>
    <n v="2.4249999999999998"/>
    <n v="14.5"/>
    <d v="2012-12-29T00:00:00"/>
  </r>
  <r>
    <x v="27"/>
    <x v="137"/>
    <n v="84087"/>
    <n v="11528"/>
    <n v="9575"/>
    <n v="0.83058639833448988"/>
    <x v="0"/>
    <n v="2.4"/>
    <n v="142"/>
    <x v="0"/>
    <x v="1"/>
    <n v="23"/>
    <n v="55.297116580000001"/>
    <n v="103.3"/>
    <n v="66.5"/>
    <n v="178.7"/>
    <n v="2.58"/>
    <n v="15.1"/>
    <d v="2011-08-01T00:00:00"/>
  </r>
  <r>
    <x v="27"/>
    <x v="138"/>
    <n v="65119"/>
    <n v="22368"/>
    <n v="18689"/>
    <n v="0.83552396280400576"/>
    <x v="0"/>
    <n v="3"/>
    <n v="194"/>
    <x v="0"/>
    <x v="1"/>
    <n v="22"/>
    <n v="78.027219470000006"/>
    <n v="114.2"/>
    <n v="73.400000000000006"/>
    <n v="193.5"/>
    <n v="3.7589999999999999"/>
    <n v="20.9"/>
    <d v="2012-10-05T00:00:00"/>
  </r>
  <r>
    <x v="27"/>
    <x v="139"/>
    <n v="25106"/>
    <n v="16888"/>
    <n v="13325"/>
    <n v="0.78902179062055899"/>
    <x v="0"/>
    <n v="2"/>
    <n v="127"/>
    <x v="0"/>
    <x v="1"/>
    <n v="27"/>
    <n v="51.955108869999997"/>
    <n v="94.9"/>
    <n v="66.7"/>
    <n v="163.80000000000001"/>
    <n v="2.6680000000000001"/>
    <n v="15.3"/>
    <d v="2011-05-06T00:00:00"/>
  </r>
  <r>
    <x v="27"/>
    <x v="140"/>
    <n v="68411"/>
    <n v="22288"/>
    <n v="19425"/>
    <n v="0.87154522613065322"/>
    <x v="0"/>
    <n v="2.7"/>
    <n v="150"/>
    <x v="0"/>
    <x v="1"/>
    <n v="23"/>
    <n v="62.35557713"/>
    <n v="105.3"/>
    <n v="66.5"/>
    <n v="183.3"/>
    <n v="3.44"/>
    <n v="18.5"/>
    <d v="2011-03-07T00:00:00"/>
  </r>
  <r>
    <x v="27"/>
    <x v="141"/>
    <n v="9835"/>
    <n v="51728"/>
    <n v="34080"/>
    <n v="0.65883080729972165"/>
    <x v="1"/>
    <n v="4.7"/>
    <n v="230"/>
    <x v="0"/>
    <x v="1"/>
    <n v="15"/>
    <n v="102.5289842"/>
    <n v="112.2"/>
    <n v="76.400000000000006"/>
    <n v="192.5"/>
    <n v="5.1150000000000002"/>
    <n v="25.4"/>
    <d v="2011-09-25T00:00:00"/>
  </r>
  <r>
    <x v="28"/>
    <x v="142"/>
    <n v="9761"/>
    <n v="14900"/>
    <n v="11425"/>
    <n v="0.76677852348993292"/>
    <x v="0"/>
    <n v="2"/>
    <n v="115"/>
    <x v="0"/>
    <x v="0"/>
    <n v="26"/>
    <n v="46.943876760000002"/>
    <n v="98.9"/>
    <n v="68.3"/>
    <n v="163.30000000000001"/>
    <n v="2.7669999999999999"/>
    <n v="14.5"/>
    <d v="2011-01-24T00:00:00"/>
  </r>
  <r>
    <x v="28"/>
    <x v="143"/>
    <n v="83721"/>
    <n v="16700"/>
    <n v="13240"/>
    <n v="0.792814371257485"/>
    <x v="0"/>
    <n v="2"/>
    <n v="115"/>
    <x v="0"/>
    <x v="0"/>
    <n v="26"/>
    <n v="47.638236659999997"/>
    <n v="98.9"/>
    <n v="68.3"/>
    <n v="172.3"/>
    <n v="2.8530000000000002"/>
    <n v="14.5"/>
    <d v="2011-08-27T00:00:00"/>
  </r>
  <r>
    <x v="28"/>
    <x v="144"/>
    <n v="51102"/>
    <n v="21200"/>
    <n v="16725"/>
    <n v="0.78891509433962259"/>
    <x v="0"/>
    <n v="1.8"/>
    <n v="150"/>
    <x v="0"/>
    <x v="0"/>
    <n v="27"/>
    <n v="61.701381359999999"/>
    <n v="106.4"/>
    <n v="68.5"/>
    <n v="184.1"/>
    <n v="3.0430000000000001"/>
    <n v="16.399999999999999"/>
    <d v="2012-10-30T00:00:00"/>
  </r>
  <r>
    <x v="28"/>
    <x v="145"/>
    <n v="9569"/>
    <n v="19990"/>
    <n v="16575"/>
    <n v="0.82916458229114554"/>
    <x v="0"/>
    <n v="2"/>
    <n v="115"/>
    <x v="0"/>
    <x v="0"/>
    <n v="26"/>
    <n v="48.907372250000002"/>
    <n v="97.4"/>
    <n v="66.7"/>
    <n v="160.4"/>
    <n v="3.0790000000000002"/>
    <n v="13.7"/>
    <d v="2011-05-31T00:00:00"/>
  </r>
  <r>
    <x v="28"/>
    <x v="146"/>
    <n v="5596"/>
    <n v="17500"/>
    <n v="13760"/>
    <n v="0.78628571428571425"/>
    <x v="0"/>
    <n v="2"/>
    <n v="115"/>
    <x v="0"/>
    <x v="0"/>
    <n v="26"/>
    <n v="47.946841059999997"/>
    <n v="98.9"/>
    <n v="68.3"/>
    <n v="163.30000000000001"/>
    <n v="2.762"/>
    <n v="14.6"/>
    <d v="2011-04-01T00:00:00"/>
  </r>
  <r>
    <x v="28"/>
    <x v="147"/>
    <n v="49463"/>
    <n v="15900"/>
    <n v="11986"/>
    <n v="0.75383647798742137"/>
    <x v="0"/>
    <n v="2"/>
    <n v="115"/>
    <x v="0"/>
    <x v="0"/>
    <n v="26"/>
    <n v="47.329632259999997"/>
    <n v="98.9"/>
    <n v="67.900000000000006"/>
    <n v="161.1"/>
    <n v="2.7690000000000001"/>
    <n v="14.5"/>
    <d v="2011-10-20T00:00:00"/>
  </r>
  <r>
    <x v="29"/>
    <x v="148"/>
    <n v="16957"/>
    <n v="23400"/>
    <n v="14334"/>
    <n v="0.61256410256410254"/>
    <x v="1"/>
    <n v="1.9"/>
    <n v="160"/>
    <x v="0"/>
    <x v="0"/>
    <n v="25"/>
    <n v="66.113056799999995"/>
    <n v="100.5"/>
    <n v="67.599999999999994"/>
    <n v="176.6"/>
    <n v="2.9980000000000002"/>
    <n v="15.8"/>
    <d v="2011-02-18T00:00:00"/>
  </r>
  <r>
    <x v="29"/>
    <x v="149"/>
    <n v="3545"/>
    <n v="24400"/>
    <n v="15252"/>
    <n v="0.62508196721311471"/>
    <x v="1"/>
    <n v="1.9"/>
    <n v="160"/>
    <x v="0"/>
    <x v="0"/>
    <n v="25"/>
    <n v="66.498812299999997"/>
    <n v="100.5"/>
    <n v="67.599999999999994"/>
    <n v="176.6"/>
    <n v="3.0419999999999998"/>
    <n v="15.8"/>
    <d v="2011-09-21T00:00:00"/>
  </r>
  <r>
    <x v="29"/>
    <x v="150"/>
    <n v="15245"/>
    <n v="27500"/>
    <n v="18900"/>
    <n v="0.68727272727272726"/>
    <x v="1"/>
    <n v="2.4"/>
    <n v="168"/>
    <x v="0"/>
    <x v="0"/>
    <n v="25"/>
    <n v="70.654495449999999"/>
    <n v="104.9"/>
    <n v="69.3"/>
    <n v="185.9"/>
    <n v="3.2080000000000002"/>
    <n v="17.899999999999999"/>
    <d v="2012-11-24T00:00:00"/>
  </r>
  <r>
    <x v="29"/>
    <x v="151"/>
    <n v="17531"/>
    <n v="28800"/>
    <n v="20223"/>
    <n v="0.70218749999999996"/>
    <x v="0"/>
    <n v="2.4"/>
    <n v="168"/>
    <x v="0"/>
    <x v="0"/>
    <n v="25"/>
    <n v="71.1559776"/>
    <n v="104.9"/>
    <n v="69.3"/>
    <n v="186.2"/>
    <n v="3.2589999999999999"/>
    <n v="17.899999999999999"/>
    <d v="2011-06-25T00:00:00"/>
  </r>
  <r>
    <x v="29"/>
    <x v="152"/>
    <n v="3493"/>
    <n v="45500"/>
    <n v="34175"/>
    <n v="0.75109890109890109"/>
    <x v="0"/>
    <n v="2.2999999999999998"/>
    <n v="236"/>
    <x v="0"/>
    <x v="0"/>
    <n v="23"/>
    <n v="101.6233572"/>
    <n v="104.9"/>
    <n v="71.5"/>
    <n v="185.7"/>
    <n v="3.601"/>
    <n v="18.5"/>
    <d v="2011-04-26T00:00:00"/>
  </r>
  <r>
    <x v="29"/>
    <x v="153"/>
    <n v="18969"/>
    <n v="36000"/>
    <n v="26403"/>
    <n v="0.73341666666666672"/>
    <x v="0"/>
    <n v="2.9"/>
    <n v="201"/>
    <x v="0"/>
    <x v="0"/>
    <n v="24"/>
    <n v="85.735654510000003"/>
    <n v="109.9"/>
    <n v="72.099999999999994"/>
    <n v="189.8"/>
    <n v="3.6"/>
    <n v="21.1"/>
    <d v="2011-11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2EEB1-7BB9-4295-8807-9EB08422B61C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43" firstHeaderRow="1" firstDataRow="1" firstDataCol="1"/>
  <pivotFields count="19">
    <pivotField axis="axisRow" showAll="0" sortType="descending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6"/>
        <item x="17"/>
        <item x="18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0"/>
  </rowFields>
  <rowItems count="31">
    <i>
      <x v="21"/>
    </i>
    <i>
      <x v="22"/>
    </i>
    <i>
      <x v="2"/>
    </i>
    <i>
      <x v="20"/>
    </i>
    <i>
      <x v="24"/>
    </i>
    <i>
      <x v="10"/>
    </i>
    <i>
      <x v="7"/>
    </i>
    <i>
      <x v="16"/>
    </i>
    <i>
      <x v="26"/>
    </i>
    <i>
      <x v="12"/>
    </i>
    <i>
      <x v="1"/>
    </i>
    <i>
      <x v="11"/>
    </i>
    <i>
      <x v="9"/>
    </i>
    <i>
      <x v="4"/>
    </i>
    <i>
      <x v="23"/>
    </i>
    <i>
      <x v="19"/>
    </i>
    <i>
      <x v="13"/>
    </i>
    <i>
      <x v="25"/>
    </i>
    <i>
      <x v="15"/>
    </i>
    <i>
      <x v="14"/>
    </i>
    <i>
      <x v="3"/>
    </i>
    <i>
      <x/>
    </i>
    <i>
      <x v="29"/>
    </i>
    <i>
      <x v="8"/>
    </i>
    <i>
      <x v="27"/>
    </i>
    <i>
      <x v="28"/>
    </i>
    <i>
      <x v="18"/>
    </i>
    <i>
      <x v="5"/>
    </i>
    <i>
      <x v="17"/>
    </i>
    <i>
      <x v="6"/>
    </i>
    <i t="grand">
      <x/>
    </i>
  </rowItems>
  <colItems count="1">
    <i/>
  </colItems>
  <dataFields count="1">
    <dataField name="Sum of Unit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D7334-4055-405E-93F0-F56FDBFC49D1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7:B10" firstHeaderRow="1" firstDataRow="1" firstDataCol="1"/>
  <pivotFields count="19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Price" fld="3" subtotal="average" baseField="10" baseItem="0" numFmtId="164"/>
  </dataFields>
  <formats count="1">
    <format dxfId="8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4056B-91DF-4CBE-AA36-224F6554193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B1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Fuel Efficiency" fld="11" subtotal="average" baseField="9" baseItem="0" numFmtId="1"/>
  </dataFields>
  <formats count="1">
    <format dxfId="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71A32-1117-4489-B1CE-0DA050F6B5C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:B18" firstHeaderRow="1" firstDataRow="1" firstDataCol="1"/>
  <pivotFields count="19">
    <pivotField showAll="0"/>
    <pivotField axis="axisRow" showAll="0" measureFilter="1" sortType="descending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11">
    <i>
      <x v="38"/>
    </i>
    <i>
      <x v="134"/>
    </i>
    <i>
      <x v="28"/>
    </i>
    <i>
      <x v="29"/>
    </i>
    <i>
      <x v="149"/>
    </i>
    <i>
      <x v="126"/>
    </i>
    <i>
      <x v="10"/>
    </i>
    <i>
      <x v="89"/>
    </i>
    <i>
      <x v="44"/>
    </i>
    <i>
      <x v="86"/>
    </i>
    <i t="grand">
      <x/>
    </i>
  </rowItems>
  <colItems count="1">
    <i/>
  </colItems>
  <dataFields count="1">
    <dataField name="Max of Price" fld="3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77E96-A697-4C60-BBA3-E6FC219A3E01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:B18" firstHeaderRow="1" firstDataRow="1" firstDataCol="1"/>
  <pivotFields count="19">
    <pivotField showAll="0"/>
    <pivotField axis="axisRow" showAll="0" measureFilter="1" sortType="descending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11">
    <i>
      <x v="28"/>
    </i>
    <i>
      <x v="38"/>
    </i>
    <i>
      <x v="29"/>
    </i>
    <i>
      <x v="134"/>
    </i>
    <i>
      <x v="149"/>
    </i>
    <i>
      <x v="126"/>
    </i>
    <i>
      <x v="89"/>
    </i>
    <i>
      <x v="53"/>
    </i>
    <i>
      <x v="20"/>
    </i>
    <i>
      <x v="86"/>
    </i>
    <i t="grand">
      <x/>
    </i>
  </rowItems>
  <colItems count="1">
    <i/>
  </colItems>
  <dataFields count="1">
    <dataField name="Max of Year Resale Value" fld="4" subtotal="max" baseField="1" baseItem="0" numFmtId="165"/>
  </dataFields>
  <formats count="2"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2678C-0D33-40B7-A22D-94D811055E2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6:B9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Model" fld="1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F01B24-DD90-46B2-80BB-4381D27A1C3C}" autoFormatId="16" applyNumberFormats="0" applyBorderFormats="0" applyFontFormats="0" applyPatternFormats="0" applyAlignmentFormats="0" applyWidthHeightFormats="0">
  <queryTableRefresh nextId="20">
    <queryTableFields count="12">
      <queryTableField id="1" name="Manufacturer" tableColumnId="1"/>
      <queryTableField id="2" name="Model" tableColumnId="2"/>
      <queryTableField id="3" name="Unit Sales" tableColumnId="3"/>
      <queryTableField id="4" name="Price" tableColumnId="4"/>
      <queryTableField id="5" name="Year Resale Value" tableColumnId="5"/>
      <queryTableField id="6" name="Retention %" tableColumnId="6"/>
      <queryTableField id="7" name="Retention Value" tableColumnId="7"/>
      <queryTableField id="8" name="Engine Size" tableColumnId="8"/>
      <queryTableField id="9" name="Horsepower" tableColumnId="9"/>
      <queryTableField id="10" name="HP Level" tableColumnId="10"/>
      <queryTableField id="11" name="Vehicle_type" tableColumnId="11"/>
      <queryTableField id="12" name="Fuel Efficiency" tableColumnId="12"/>
    </queryTableFields>
    <queryTableDeletedFields count="7">
      <deletedField name="Power Perf Factor"/>
      <deletedField name="Wheelbase"/>
      <deletedField name="Width"/>
      <deletedField name="Length"/>
      <deletedField name="Curb Weight"/>
      <deletedField name="Fuel Capacity"/>
      <deletedField name="Latest Launc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FD22B-1D13-4AF4-B895-EA63091E1B76}" name="Sales_Table" displayName="Sales_Table" ref="A1:L156" tableType="queryTable" totalsRowShown="0">
  <autoFilter ref="A1:L156" xr:uid="{098FD22B-1D13-4AF4-B895-EA63091E1B76}"/>
  <tableColumns count="12">
    <tableColumn id="1" xr3:uid="{09B614FF-C2C6-4346-864B-6F6BB4284E24}" uniqueName="1" name="Manufacturer" queryTableFieldId="1" dataDxfId="4"/>
    <tableColumn id="2" xr3:uid="{50D62917-0833-4FEF-B462-3B103C4B7AE6}" uniqueName="2" name="Model" queryTableFieldId="2" dataDxfId="3"/>
    <tableColumn id="3" xr3:uid="{F34B7E31-7730-46A1-B5F3-A61A3276A755}" uniqueName="3" name="Unit Sales" queryTableFieldId="3"/>
    <tableColumn id="4" xr3:uid="{8AB8486D-974C-4239-B4B6-C1CD9105289D}" uniqueName="4" name="Price" queryTableFieldId="4"/>
    <tableColumn id="5" xr3:uid="{791377AE-3420-4450-A937-2CD0535070D6}" uniqueName="5" name="Year Resale Value" queryTableFieldId="5"/>
    <tableColumn id="6" xr3:uid="{E3C1FCE1-47DC-4FEA-88A2-DDC1DAD0400C}" uniqueName="6" name="Retention %" queryTableFieldId="6"/>
    <tableColumn id="7" xr3:uid="{6D3B860C-12DB-4B48-AAC3-BAFC0FF2F3B5}" uniqueName="7" name="Retention Value" queryTableFieldId="7" dataDxfId="2"/>
    <tableColumn id="8" xr3:uid="{B9037486-5B3A-4FEA-BABE-B38808260C34}" uniqueName="8" name="Engine Size" queryTableFieldId="8"/>
    <tableColumn id="9" xr3:uid="{9710FAFA-5F12-4F16-9E73-A7A4331CF53F}" uniqueName="9" name="Horsepower" queryTableFieldId="9"/>
    <tableColumn id="10" xr3:uid="{1EF4DEA8-A5D9-4A7B-80FC-C73116792E31}" uniqueName="10" name="HP Level" queryTableFieldId="10" dataDxfId="1"/>
    <tableColumn id="11" xr3:uid="{CDF66A40-E614-4E57-BE64-2DD54BAF2BF3}" uniqueName="11" name="Vehicle_type" queryTableFieldId="11" dataDxfId="0"/>
    <tableColumn id="12" xr3:uid="{DCEC104C-E9E2-4E33-BB35-03EFC03284A6}" uniqueName="12" name="Fuel Efficienc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Sonya-7/Car_Sales_Dashboard/blob/main/Car_Sales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B231-3C33-4C8A-896C-99F15BAA3B71}">
  <sheetPr>
    <pageSetUpPr fitToPage="1"/>
  </sheetPr>
  <dimension ref="A1:L124"/>
  <sheetViews>
    <sheetView showGridLines="0" topLeftCell="A90" zoomScaleNormal="100" workbookViewId="0">
      <selection activeCell="F38" sqref="F38"/>
    </sheetView>
  </sheetViews>
  <sheetFormatPr defaultRowHeight="14.4" x14ac:dyDescent="0.3"/>
  <cols>
    <col min="1" max="1" width="20" customWidth="1"/>
    <col min="2" max="2" width="14.5546875" customWidth="1"/>
    <col min="10" max="10" width="11.5546875" customWidth="1"/>
    <col min="19" max="19" width="14.44140625" customWidth="1"/>
  </cols>
  <sheetData>
    <row r="1" spans="1:1" ht="23.4" x14ac:dyDescent="0.3">
      <c r="A1" s="3" t="s">
        <v>0</v>
      </c>
    </row>
    <row r="3" spans="1:1" x14ac:dyDescent="0.3">
      <c r="A3" s="4" t="s">
        <v>282</v>
      </c>
    </row>
    <row r="4" spans="1:1" x14ac:dyDescent="0.3">
      <c r="A4" t="s">
        <v>283</v>
      </c>
    </row>
    <row r="5" spans="1:1" x14ac:dyDescent="0.3">
      <c r="A5" t="s">
        <v>284</v>
      </c>
    </row>
    <row r="6" spans="1:1" x14ac:dyDescent="0.3">
      <c r="A6" t="s">
        <v>285</v>
      </c>
    </row>
    <row r="8" spans="1:1" ht="18" x14ac:dyDescent="0.3">
      <c r="A8" s="5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s="7"/>
    </row>
    <row r="13" spans="1:1" x14ac:dyDescent="0.3">
      <c r="A13" s="24" t="s">
        <v>35</v>
      </c>
    </row>
    <row r="14" spans="1:1" x14ac:dyDescent="0.3">
      <c r="A14" s="25" t="s">
        <v>36</v>
      </c>
    </row>
    <row r="16" spans="1:1" ht="18" x14ac:dyDescent="0.3">
      <c r="A16" s="5" t="s">
        <v>37</v>
      </c>
    </row>
    <row r="18" spans="1:1" x14ac:dyDescent="0.3">
      <c r="A18" t="s">
        <v>38</v>
      </c>
    </row>
    <row r="19" spans="1:1" x14ac:dyDescent="0.3">
      <c r="A19" t="s">
        <v>8</v>
      </c>
    </row>
    <row r="20" spans="1:1" x14ac:dyDescent="0.3">
      <c r="A20" t="s">
        <v>39</v>
      </c>
    </row>
    <row r="22" spans="1:1" ht="18" x14ac:dyDescent="0.3">
      <c r="A22" s="5" t="s">
        <v>1</v>
      </c>
    </row>
    <row r="24" spans="1:1" x14ac:dyDescent="0.3">
      <c r="A24" t="s">
        <v>40</v>
      </c>
    </row>
    <row r="26" spans="1:1" ht="18" x14ac:dyDescent="0.3">
      <c r="A26" s="5" t="s">
        <v>2</v>
      </c>
    </row>
    <row r="27" spans="1:1" x14ac:dyDescent="0.3">
      <c r="A27" t="s">
        <v>41</v>
      </c>
    </row>
    <row r="29" spans="1:1" ht="18" x14ac:dyDescent="0.3">
      <c r="A29" s="5" t="s">
        <v>3</v>
      </c>
    </row>
    <row r="30" spans="1:1" x14ac:dyDescent="0.3">
      <c r="A30" t="s">
        <v>42</v>
      </c>
    </row>
    <row r="33" spans="1:2" ht="23.4" x14ac:dyDescent="0.3">
      <c r="A33" s="3" t="s">
        <v>4</v>
      </c>
    </row>
    <row r="35" spans="1:2" s="8" customFormat="1" x14ac:dyDescent="0.3">
      <c r="A35" s="9" t="s">
        <v>5</v>
      </c>
      <c r="B35" s="10" t="s">
        <v>6</v>
      </c>
    </row>
    <row r="36" spans="1:2" x14ac:dyDescent="0.3">
      <c r="A36" s="11" t="s">
        <v>9</v>
      </c>
      <c r="B36" s="12" t="s">
        <v>10</v>
      </c>
    </row>
    <row r="37" spans="1:2" s="18" customFormat="1" x14ac:dyDescent="0.3">
      <c r="A37" s="16" t="s">
        <v>11</v>
      </c>
      <c r="B37" s="17" t="s">
        <v>12</v>
      </c>
    </row>
    <row r="38" spans="1:2" x14ac:dyDescent="0.3">
      <c r="A38" s="11" t="s">
        <v>13</v>
      </c>
      <c r="B38" s="12" t="s">
        <v>14</v>
      </c>
    </row>
    <row r="39" spans="1:2" x14ac:dyDescent="0.3">
      <c r="A39" s="12" t="s">
        <v>15</v>
      </c>
      <c r="B39" s="19" t="s">
        <v>30</v>
      </c>
    </row>
    <row r="40" spans="1:2" x14ac:dyDescent="0.3">
      <c r="A40" s="12" t="s">
        <v>16</v>
      </c>
      <c r="B40" s="12" t="s">
        <v>17</v>
      </c>
    </row>
    <row r="41" spans="1:2" x14ac:dyDescent="0.3">
      <c r="A41" s="12" t="s">
        <v>18</v>
      </c>
      <c r="B41" s="12" t="s">
        <v>19</v>
      </c>
    </row>
    <row r="42" spans="1:2" x14ac:dyDescent="0.3">
      <c r="A42" s="12" t="s">
        <v>20</v>
      </c>
      <c r="B42" s="12" t="s">
        <v>21</v>
      </c>
    </row>
    <row r="43" spans="1:2" x14ac:dyDescent="0.3">
      <c r="A43" s="12" t="s">
        <v>22</v>
      </c>
      <c r="B43" s="12" t="s">
        <v>23</v>
      </c>
    </row>
    <row r="44" spans="1:2" x14ac:dyDescent="0.3">
      <c r="A44" s="12" t="s">
        <v>24</v>
      </c>
      <c r="B44" s="12" t="s">
        <v>25</v>
      </c>
    </row>
    <row r="45" spans="1:2" x14ac:dyDescent="0.3">
      <c r="A45" s="12" t="s">
        <v>26</v>
      </c>
      <c r="B45" s="12" t="s">
        <v>27</v>
      </c>
    </row>
    <row r="46" spans="1:2" x14ac:dyDescent="0.3">
      <c r="A46" s="12" t="s">
        <v>28</v>
      </c>
      <c r="B46" s="12" t="s">
        <v>29</v>
      </c>
    </row>
    <row r="47" spans="1:2" x14ac:dyDescent="0.3">
      <c r="B47" s="1"/>
    </row>
    <row r="48" spans="1:2" ht="18" x14ac:dyDescent="0.3">
      <c r="A48" s="5" t="s">
        <v>43</v>
      </c>
      <c r="B48" s="2"/>
    </row>
    <row r="49" spans="1:2" x14ac:dyDescent="0.3">
      <c r="A49" s="6"/>
      <c r="B49" s="2"/>
    </row>
    <row r="50" spans="1:2" x14ac:dyDescent="0.3">
      <c r="A50" t="s">
        <v>287</v>
      </c>
      <c r="B50" s="2"/>
    </row>
    <row r="51" spans="1:2" x14ac:dyDescent="0.3">
      <c r="A51" s="6" t="s">
        <v>288</v>
      </c>
    </row>
    <row r="52" spans="1:2" x14ac:dyDescent="0.3">
      <c r="A52" s="6"/>
    </row>
    <row r="53" spans="1:2" x14ac:dyDescent="0.3">
      <c r="A53" t="s">
        <v>289</v>
      </c>
    </row>
    <row r="54" spans="1:2" x14ac:dyDescent="0.3">
      <c r="A54" t="s">
        <v>290</v>
      </c>
    </row>
    <row r="55" spans="1:2" x14ac:dyDescent="0.3">
      <c r="A55" t="s">
        <v>291</v>
      </c>
    </row>
    <row r="56" spans="1:2" x14ac:dyDescent="0.3">
      <c r="A56" t="s">
        <v>292</v>
      </c>
    </row>
    <row r="57" spans="1:2" x14ac:dyDescent="0.3">
      <c r="A57" t="s">
        <v>293</v>
      </c>
    </row>
    <row r="58" spans="1:2" x14ac:dyDescent="0.3">
      <c r="A58" t="s">
        <v>294</v>
      </c>
    </row>
    <row r="59" spans="1:2" x14ac:dyDescent="0.3">
      <c r="A59" t="s">
        <v>295</v>
      </c>
    </row>
    <row r="60" spans="1:2" x14ac:dyDescent="0.3">
      <c r="A60" t="s">
        <v>296</v>
      </c>
    </row>
    <row r="61" spans="1:2" x14ac:dyDescent="0.3">
      <c r="A61" t="s">
        <v>297</v>
      </c>
    </row>
    <row r="63" spans="1:2" x14ac:dyDescent="0.3">
      <c r="A63" t="s">
        <v>298</v>
      </c>
    </row>
    <row r="64" spans="1:2" x14ac:dyDescent="0.3">
      <c r="A64" t="s">
        <v>299</v>
      </c>
    </row>
    <row r="65" spans="1:11" x14ac:dyDescent="0.3">
      <c r="A65" t="s">
        <v>300</v>
      </c>
    </row>
    <row r="66" spans="1:11" x14ac:dyDescent="0.3">
      <c r="A66" t="s">
        <v>301</v>
      </c>
    </row>
    <row r="68" spans="1:11" x14ac:dyDescent="0.3">
      <c r="A68" t="s">
        <v>302</v>
      </c>
    </row>
    <row r="70" spans="1:11" ht="18" x14ac:dyDescent="0.3">
      <c r="A70" s="5" t="s">
        <v>44</v>
      </c>
    </row>
    <row r="72" spans="1:11" x14ac:dyDescent="0.3">
      <c r="A72" t="s">
        <v>286</v>
      </c>
    </row>
    <row r="73" spans="1:11" x14ac:dyDescent="0.3">
      <c r="A73" t="s">
        <v>45</v>
      </c>
    </row>
    <row r="75" spans="1:11" x14ac:dyDescent="0.3">
      <c r="A75" t="s">
        <v>46</v>
      </c>
    </row>
    <row r="76" spans="1:11" x14ac:dyDescent="0.3">
      <c r="A76" t="s">
        <v>47</v>
      </c>
    </row>
    <row r="77" spans="1:11" x14ac:dyDescent="0.3">
      <c r="A77" t="s">
        <v>48</v>
      </c>
    </row>
    <row r="78" spans="1:11" x14ac:dyDescent="0.3">
      <c r="A78" t="s">
        <v>49</v>
      </c>
      <c r="K78" s="39"/>
    </row>
    <row r="79" spans="1:11" x14ac:dyDescent="0.3">
      <c r="A79" t="s">
        <v>50</v>
      </c>
    </row>
    <row r="81" spans="1:12" x14ac:dyDescent="0.3">
      <c r="A81" s="34" t="s">
        <v>9</v>
      </c>
      <c r="B81" s="35" t="s">
        <v>11</v>
      </c>
      <c r="C81" s="35" t="s">
        <v>13</v>
      </c>
      <c r="D81" s="35" t="s">
        <v>51</v>
      </c>
      <c r="E81" s="35" t="s">
        <v>52</v>
      </c>
      <c r="F81" s="35" t="s">
        <v>18</v>
      </c>
      <c r="G81" s="35" t="s">
        <v>53</v>
      </c>
      <c r="H81" s="35" t="s">
        <v>20</v>
      </c>
      <c r="I81" s="35" t="s">
        <v>22</v>
      </c>
      <c r="J81" s="35" t="s">
        <v>54</v>
      </c>
      <c r="K81" s="35" t="s">
        <v>55</v>
      </c>
      <c r="L81" s="36" t="s">
        <v>56</v>
      </c>
    </row>
    <row r="82" spans="1:12" s="4" customFormat="1" x14ac:dyDescent="0.3">
      <c r="A82" s="32" t="s">
        <v>57</v>
      </c>
      <c r="B82" s="33" t="s">
        <v>58</v>
      </c>
      <c r="C82" s="33">
        <v>16919</v>
      </c>
      <c r="D82" s="33">
        <v>21500</v>
      </c>
      <c r="E82" s="33">
        <v>16360</v>
      </c>
      <c r="F82" s="33">
        <v>0.76093023255813952</v>
      </c>
      <c r="G82" s="33" t="s">
        <v>246</v>
      </c>
      <c r="H82" s="33">
        <v>1.8</v>
      </c>
      <c r="I82" s="33">
        <v>140</v>
      </c>
      <c r="J82" s="33" t="s">
        <v>247</v>
      </c>
      <c r="K82" s="33" t="s">
        <v>59</v>
      </c>
      <c r="L82" s="37">
        <v>28</v>
      </c>
    </row>
    <row r="83" spans="1:12" x14ac:dyDescent="0.3">
      <c r="A83" s="30" t="s">
        <v>57</v>
      </c>
      <c r="B83" s="31" t="s">
        <v>60</v>
      </c>
      <c r="C83" s="31">
        <v>39384</v>
      </c>
      <c r="D83" s="31">
        <v>28400</v>
      </c>
      <c r="E83" s="31">
        <v>19875</v>
      </c>
      <c r="F83" s="31">
        <v>0.69982394366197187</v>
      </c>
      <c r="G83" s="31" t="s">
        <v>246</v>
      </c>
      <c r="H83" s="31">
        <v>3.2</v>
      </c>
      <c r="I83" s="31">
        <v>225</v>
      </c>
      <c r="J83" s="31" t="s">
        <v>247</v>
      </c>
      <c r="K83" s="31" t="s">
        <v>59</v>
      </c>
      <c r="L83" s="38">
        <v>25</v>
      </c>
    </row>
    <row r="84" spans="1:12" x14ac:dyDescent="0.3">
      <c r="A84" s="32" t="s">
        <v>57</v>
      </c>
      <c r="B84" s="33" t="s">
        <v>61</v>
      </c>
      <c r="C84" s="33">
        <v>8588</v>
      </c>
      <c r="D84" s="33">
        <v>42000</v>
      </c>
      <c r="E84" s="33">
        <v>29725</v>
      </c>
      <c r="F84" s="33">
        <v>0.70773809523809528</v>
      </c>
      <c r="G84" s="33" t="s">
        <v>246</v>
      </c>
      <c r="H84" s="33">
        <v>3.5</v>
      </c>
      <c r="I84" s="33">
        <v>210</v>
      </c>
      <c r="J84" s="33" t="s">
        <v>247</v>
      </c>
      <c r="K84" s="33" t="s">
        <v>59</v>
      </c>
      <c r="L84" s="37">
        <v>22</v>
      </c>
    </row>
    <row r="85" spans="1:12" x14ac:dyDescent="0.3">
      <c r="A85" s="30" t="s">
        <v>62</v>
      </c>
      <c r="B85" s="31" t="s">
        <v>63</v>
      </c>
      <c r="C85" s="31">
        <v>20397</v>
      </c>
      <c r="D85" s="31">
        <v>23990</v>
      </c>
      <c r="E85" s="31">
        <v>22255</v>
      </c>
      <c r="F85" s="31">
        <v>0.92767819924968742</v>
      </c>
      <c r="G85" s="31" t="s">
        <v>246</v>
      </c>
      <c r="H85" s="31">
        <v>1.8</v>
      </c>
      <c r="I85" s="31">
        <v>150</v>
      </c>
      <c r="J85" s="31" t="s">
        <v>247</v>
      </c>
      <c r="K85" s="31" t="s">
        <v>59</v>
      </c>
      <c r="L85" s="38">
        <v>27</v>
      </c>
    </row>
    <row r="86" spans="1:12" x14ac:dyDescent="0.3">
      <c r="A86" s="32" t="s">
        <v>62</v>
      </c>
      <c r="B86" s="33" t="s">
        <v>64</v>
      </c>
      <c r="C86" s="33">
        <v>18780</v>
      </c>
      <c r="D86" s="33">
        <v>33950</v>
      </c>
      <c r="E86" s="33">
        <v>23555</v>
      </c>
      <c r="F86" s="33">
        <v>0.6938144329896907</v>
      </c>
      <c r="G86" s="33" t="s">
        <v>246</v>
      </c>
      <c r="H86" s="33">
        <v>2.8</v>
      </c>
      <c r="I86" s="33">
        <v>200</v>
      </c>
      <c r="J86" s="33" t="s">
        <v>247</v>
      </c>
      <c r="K86" s="33" t="s">
        <v>59</v>
      </c>
      <c r="L86" s="37">
        <v>22</v>
      </c>
    </row>
    <row r="87" spans="1:12" x14ac:dyDescent="0.3">
      <c r="A87" s="30" t="s">
        <v>62</v>
      </c>
      <c r="B87" s="31" t="s">
        <v>65</v>
      </c>
      <c r="C87" s="31">
        <v>1380</v>
      </c>
      <c r="D87" s="31">
        <v>62000</v>
      </c>
      <c r="E87" s="31">
        <v>39000</v>
      </c>
      <c r="F87" s="31">
        <v>0.62903225806451613</v>
      </c>
      <c r="G87" s="31" t="s">
        <v>248</v>
      </c>
      <c r="H87" s="31">
        <v>4.2</v>
      </c>
      <c r="I87" s="31">
        <v>310</v>
      </c>
      <c r="J87" s="31" t="s">
        <v>249</v>
      </c>
      <c r="K87" s="31" t="s">
        <v>59</v>
      </c>
      <c r="L87" s="38">
        <v>21</v>
      </c>
    </row>
    <row r="88" spans="1:12" x14ac:dyDescent="0.3">
      <c r="A88" s="32" t="s">
        <v>66</v>
      </c>
      <c r="B88" s="33" t="s">
        <v>67</v>
      </c>
      <c r="C88" s="33">
        <v>19747</v>
      </c>
      <c r="D88" s="33">
        <v>26990</v>
      </c>
      <c r="E88" s="33">
        <v>24500</v>
      </c>
      <c r="F88" s="33">
        <v>0.9077436087439793</v>
      </c>
      <c r="G88" s="33" t="s">
        <v>246</v>
      </c>
      <c r="H88" s="33">
        <v>2.5</v>
      </c>
      <c r="I88" s="33">
        <v>170</v>
      </c>
      <c r="J88" s="33" t="s">
        <v>247</v>
      </c>
      <c r="K88" s="33" t="s">
        <v>59</v>
      </c>
      <c r="L88" s="37">
        <v>26</v>
      </c>
    </row>
    <row r="89" spans="1:12" x14ac:dyDescent="0.3">
      <c r="A89" s="30" t="s">
        <v>66</v>
      </c>
      <c r="B89" s="31" t="s">
        <v>68</v>
      </c>
      <c r="C89" s="31">
        <v>9231</v>
      </c>
      <c r="D89" s="31">
        <v>33400</v>
      </c>
      <c r="E89" s="31">
        <v>28675</v>
      </c>
      <c r="F89" s="31">
        <v>0.85853293413173648</v>
      </c>
      <c r="G89" s="31" t="s">
        <v>246</v>
      </c>
      <c r="H89" s="31">
        <v>2.8</v>
      </c>
      <c r="I89" s="31">
        <v>193</v>
      </c>
      <c r="J89" s="31" t="s">
        <v>247</v>
      </c>
      <c r="K89" s="31" t="s">
        <v>59</v>
      </c>
      <c r="L89" s="38">
        <v>24</v>
      </c>
    </row>
    <row r="90" spans="1:12" x14ac:dyDescent="0.3">
      <c r="A90" s="32" t="s">
        <v>66</v>
      </c>
      <c r="B90" s="33" t="s">
        <v>69</v>
      </c>
      <c r="C90" s="33">
        <v>17527</v>
      </c>
      <c r="D90" s="33">
        <v>38900</v>
      </c>
      <c r="E90" s="33">
        <v>36125</v>
      </c>
      <c r="F90" s="33">
        <v>0.92866323907455017</v>
      </c>
      <c r="G90" s="33" t="s">
        <v>246</v>
      </c>
      <c r="H90" s="33">
        <v>2.8</v>
      </c>
      <c r="I90" s="33">
        <v>193</v>
      </c>
      <c r="J90" s="33" t="s">
        <v>247</v>
      </c>
      <c r="K90" s="33" t="s">
        <v>59</v>
      </c>
      <c r="L90" s="37">
        <v>25</v>
      </c>
    </row>
    <row r="91" spans="1:12" x14ac:dyDescent="0.3">
      <c r="A91" s="30" t="s">
        <v>70</v>
      </c>
      <c r="B91" s="31" t="s">
        <v>71</v>
      </c>
      <c r="C91" s="31">
        <v>91561</v>
      </c>
      <c r="D91" s="31">
        <v>21975</v>
      </c>
      <c r="E91" s="31">
        <v>12475</v>
      </c>
      <c r="F91" s="31">
        <v>0.56769055745164965</v>
      </c>
      <c r="G91" s="31" t="s">
        <v>248</v>
      </c>
      <c r="H91" s="31">
        <v>3.1</v>
      </c>
      <c r="I91" s="31">
        <v>175</v>
      </c>
      <c r="J91" s="31" t="s">
        <v>247</v>
      </c>
      <c r="K91" s="31" t="s">
        <v>59</v>
      </c>
      <c r="L91" s="38">
        <v>25</v>
      </c>
    </row>
    <row r="92" spans="1:12" x14ac:dyDescent="0.3">
      <c r="A92" s="32" t="s">
        <v>70</v>
      </c>
      <c r="B92" s="33" t="s">
        <v>72</v>
      </c>
      <c r="C92" s="33">
        <v>39350</v>
      </c>
      <c r="D92" s="33">
        <v>25300</v>
      </c>
      <c r="E92" s="33">
        <v>13740</v>
      </c>
      <c r="F92" s="33">
        <v>0.54308300395256914</v>
      </c>
      <c r="G92" s="33" t="s">
        <v>248</v>
      </c>
      <c r="H92" s="33">
        <v>3.8</v>
      </c>
      <c r="I92" s="33">
        <v>240</v>
      </c>
      <c r="J92" s="33" t="s">
        <v>247</v>
      </c>
      <c r="K92" s="33" t="s">
        <v>59</v>
      </c>
      <c r="L92" s="37">
        <v>23</v>
      </c>
    </row>
    <row r="93" spans="1:12" x14ac:dyDescent="0.3">
      <c r="A93" s="30" t="s">
        <v>70</v>
      </c>
      <c r="B93" s="31" t="s">
        <v>73</v>
      </c>
      <c r="C93" s="31">
        <v>27851</v>
      </c>
      <c r="D93" s="31">
        <v>31965</v>
      </c>
      <c r="E93" s="31">
        <v>20190</v>
      </c>
      <c r="F93" s="31">
        <v>0.63162834350070385</v>
      </c>
      <c r="G93" s="31" t="s">
        <v>248</v>
      </c>
      <c r="H93" s="31">
        <v>3.8</v>
      </c>
      <c r="I93" s="31">
        <v>205</v>
      </c>
      <c r="J93" s="31" t="s">
        <v>247</v>
      </c>
      <c r="K93" s="31" t="s">
        <v>59</v>
      </c>
      <c r="L93" s="38">
        <v>24</v>
      </c>
    </row>
    <row r="95" spans="1:12" hidden="1" x14ac:dyDescent="0.3"/>
    <row r="97" spans="1:1" ht="18" x14ac:dyDescent="0.3">
      <c r="A97" s="5" t="s">
        <v>92</v>
      </c>
    </row>
    <row r="99" spans="1:1" x14ac:dyDescent="0.3">
      <c r="A99" t="s">
        <v>266</v>
      </c>
    </row>
    <row r="100" spans="1:1" x14ac:dyDescent="0.3">
      <c r="A100" t="s">
        <v>267</v>
      </c>
    </row>
    <row r="101" spans="1:1" x14ac:dyDescent="0.3">
      <c r="A101" t="s">
        <v>268</v>
      </c>
    </row>
    <row r="102" spans="1:1" x14ac:dyDescent="0.3">
      <c r="A102" t="s">
        <v>269</v>
      </c>
    </row>
    <row r="104" spans="1:1" x14ac:dyDescent="0.3">
      <c r="A104" t="s">
        <v>270</v>
      </c>
    </row>
    <row r="105" spans="1:1" x14ac:dyDescent="0.3">
      <c r="A105" t="s">
        <v>271</v>
      </c>
    </row>
    <row r="106" spans="1:1" x14ac:dyDescent="0.3">
      <c r="A106" t="s">
        <v>272</v>
      </c>
    </row>
    <row r="107" spans="1:1" x14ac:dyDescent="0.3">
      <c r="A107" t="s">
        <v>273</v>
      </c>
    </row>
    <row r="108" spans="1:1" x14ac:dyDescent="0.3">
      <c r="A108" t="s">
        <v>274</v>
      </c>
    </row>
    <row r="109" spans="1:1" x14ac:dyDescent="0.3">
      <c r="A109" t="s">
        <v>275</v>
      </c>
    </row>
    <row r="111" spans="1:1" x14ac:dyDescent="0.3">
      <c r="A111" t="s">
        <v>276</v>
      </c>
    </row>
    <row r="113" spans="1:1" x14ac:dyDescent="0.3">
      <c r="A113" t="s">
        <v>277</v>
      </c>
    </row>
    <row r="114" spans="1:1" x14ac:dyDescent="0.3">
      <c r="A114" t="s">
        <v>278</v>
      </c>
    </row>
    <row r="115" spans="1:1" x14ac:dyDescent="0.3">
      <c r="A115" t="s">
        <v>279</v>
      </c>
    </row>
    <row r="116" spans="1:1" x14ac:dyDescent="0.3">
      <c r="A116" t="s">
        <v>280</v>
      </c>
    </row>
    <row r="117" spans="1:1" x14ac:dyDescent="0.3">
      <c r="A117" t="s">
        <v>281</v>
      </c>
    </row>
    <row r="120" spans="1:1" x14ac:dyDescent="0.3">
      <c r="A120" t="s">
        <v>93</v>
      </c>
    </row>
    <row r="121" spans="1:1" x14ac:dyDescent="0.3">
      <c r="A121" t="s">
        <v>36</v>
      </c>
    </row>
    <row r="124" spans="1:1" ht="18" x14ac:dyDescent="0.3">
      <c r="A124" s="5" t="s">
        <v>94</v>
      </c>
    </row>
  </sheetData>
  <hyperlinks>
    <hyperlink ref="A14" r:id="rId1" xr:uid="{1BB2A1E5-6C29-43AB-962E-8AFBF5B69635}"/>
  </hyperlinks>
  <pageMargins left="0.7" right="0.7" top="0.75" bottom="0.75" header="0.3" footer="0.3"/>
  <pageSetup scale="63" fitToHeight="2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A414-98A0-41BD-8873-742C2F265A0C}">
  <sheetPr>
    <pageSetUpPr fitToPage="1"/>
  </sheetPr>
  <dimension ref="A2:B43"/>
  <sheetViews>
    <sheetView showGridLines="0" tabSelected="1" zoomScale="85" zoomScaleNormal="85" workbookViewId="0">
      <selection activeCell="F38" sqref="F38"/>
    </sheetView>
  </sheetViews>
  <sheetFormatPr defaultRowHeight="14.4" x14ac:dyDescent="0.3"/>
  <cols>
    <col min="1" max="1" width="12.88671875" bestFit="1" customWidth="1"/>
    <col min="2" max="2" width="15.77734375" bestFit="1" customWidth="1"/>
    <col min="3" max="9" width="5" bestFit="1" customWidth="1"/>
    <col min="10" max="10" width="11" bestFit="1" customWidth="1"/>
    <col min="17" max="17" width="14.44140625" customWidth="1"/>
  </cols>
  <sheetData>
    <row r="2" spans="1:2" ht="23.4" x14ac:dyDescent="0.45">
      <c r="B2" s="14" t="s">
        <v>253</v>
      </c>
    </row>
    <row r="3" spans="1:2" x14ac:dyDescent="0.3">
      <c r="B3" s="15" t="s">
        <v>254</v>
      </c>
    </row>
    <row r="12" spans="1:2" x14ac:dyDescent="0.3">
      <c r="A12" s="13" t="s">
        <v>251</v>
      </c>
      <c r="B12" t="s">
        <v>252</v>
      </c>
    </row>
    <row r="13" spans="1:2" x14ac:dyDescent="0.3">
      <c r="A13" s="8" t="s">
        <v>114</v>
      </c>
      <c r="B13">
        <v>2022635</v>
      </c>
    </row>
    <row r="14" spans="1:2" x14ac:dyDescent="0.3">
      <c r="A14" s="8" t="s">
        <v>102</v>
      </c>
      <c r="B14">
        <v>910149</v>
      </c>
    </row>
    <row r="15" spans="1:2" x14ac:dyDescent="0.3">
      <c r="A15" s="8" t="s">
        <v>222</v>
      </c>
      <c r="B15">
        <v>740205</v>
      </c>
    </row>
    <row r="16" spans="1:2" x14ac:dyDescent="0.3">
      <c r="A16" s="8" t="s">
        <v>126</v>
      </c>
      <c r="B16">
        <v>592674</v>
      </c>
    </row>
    <row r="17" spans="1:2" x14ac:dyDescent="0.3">
      <c r="A17" s="8" t="s">
        <v>82</v>
      </c>
      <c r="B17">
        <v>554365</v>
      </c>
    </row>
    <row r="18" spans="1:2" x14ac:dyDescent="0.3">
      <c r="A18" s="8" t="s">
        <v>180</v>
      </c>
      <c r="B18">
        <v>399635</v>
      </c>
    </row>
    <row r="19" spans="1:2" x14ac:dyDescent="0.3">
      <c r="A19" s="8" t="s">
        <v>199</v>
      </c>
      <c r="B19">
        <v>370534</v>
      </c>
    </row>
    <row r="20" spans="1:2" x14ac:dyDescent="0.3">
      <c r="A20" s="8" t="s">
        <v>140</v>
      </c>
      <c r="B20">
        <v>293153</v>
      </c>
    </row>
    <row r="21" spans="1:2" x14ac:dyDescent="0.3">
      <c r="A21" s="8" t="s">
        <v>70</v>
      </c>
      <c r="B21">
        <v>242019</v>
      </c>
    </row>
    <row r="22" spans="1:2" x14ac:dyDescent="0.3">
      <c r="A22" s="8" t="s">
        <v>163</v>
      </c>
      <c r="B22">
        <v>237999</v>
      </c>
    </row>
    <row r="23" spans="1:2" ht="19.2" customHeight="1" x14ac:dyDescent="0.3">
      <c r="A23" s="8" t="s">
        <v>232</v>
      </c>
      <c r="B23">
        <v>209212</v>
      </c>
    </row>
    <row r="24" spans="1:2" x14ac:dyDescent="0.3">
      <c r="A24" s="8" t="s">
        <v>155</v>
      </c>
      <c r="B24">
        <v>180895</v>
      </c>
    </row>
    <row r="25" spans="1:2" x14ac:dyDescent="0.3">
      <c r="A25" s="8" t="s">
        <v>188</v>
      </c>
      <c r="B25">
        <v>178989</v>
      </c>
    </row>
    <row r="26" spans="1:2" x14ac:dyDescent="0.3">
      <c r="A26" s="8" t="s">
        <v>213</v>
      </c>
      <c r="B26">
        <v>168850</v>
      </c>
    </row>
    <row r="27" spans="1:2" x14ac:dyDescent="0.3">
      <c r="A27" s="8" t="s">
        <v>95</v>
      </c>
      <c r="B27">
        <v>148241</v>
      </c>
    </row>
    <row r="28" spans="1:2" x14ac:dyDescent="0.3">
      <c r="A28" s="8" t="s">
        <v>132</v>
      </c>
      <c r="B28">
        <v>137326</v>
      </c>
    </row>
    <row r="29" spans="1:2" x14ac:dyDescent="0.3">
      <c r="A29" s="8" t="s">
        <v>170</v>
      </c>
      <c r="B29">
        <v>117125</v>
      </c>
    </row>
    <row r="30" spans="1:2" x14ac:dyDescent="0.3">
      <c r="A30" s="8" t="s">
        <v>75</v>
      </c>
      <c r="B30">
        <v>112178</v>
      </c>
    </row>
    <row r="31" spans="1:2" x14ac:dyDescent="0.3">
      <c r="A31" s="8" t="s">
        <v>144</v>
      </c>
      <c r="B31">
        <v>106843</v>
      </c>
    </row>
    <row r="32" spans="1:2" x14ac:dyDescent="0.3">
      <c r="A32" s="8" t="s">
        <v>151</v>
      </c>
      <c r="B32">
        <v>85634</v>
      </c>
    </row>
    <row r="33" spans="1:2" x14ac:dyDescent="0.3">
      <c r="A33" s="8" t="s">
        <v>219</v>
      </c>
      <c r="B33">
        <v>80135</v>
      </c>
    </row>
    <row r="34" spans="1:2" x14ac:dyDescent="0.3">
      <c r="A34" s="8" t="s">
        <v>239</v>
      </c>
      <c r="B34">
        <v>75740</v>
      </c>
    </row>
    <row r="35" spans="1:2" x14ac:dyDescent="0.3">
      <c r="A35" s="8" t="s">
        <v>57</v>
      </c>
      <c r="B35">
        <v>64891</v>
      </c>
    </row>
    <row r="36" spans="1:2" x14ac:dyDescent="0.3">
      <c r="A36" s="8" t="s">
        <v>195</v>
      </c>
      <c r="B36">
        <v>64001</v>
      </c>
    </row>
    <row r="37" spans="1:2" x14ac:dyDescent="0.3">
      <c r="A37" s="8" t="s">
        <v>66</v>
      </c>
      <c r="B37">
        <v>46505</v>
      </c>
    </row>
    <row r="38" spans="1:2" x14ac:dyDescent="0.3">
      <c r="A38" s="8" t="s">
        <v>62</v>
      </c>
      <c r="B38">
        <v>40557</v>
      </c>
    </row>
    <row r="39" spans="1:2" x14ac:dyDescent="0.3">
      <c r="A39" s="8" t="s">
        <v>136</v>
      </c>
      <c r="B39">
        <v>23713</v>
      </c>
    </row>
    <row r="40" spans="1:2" x14ac:dyDescent="0.3">
      <c r="A40" s="8" t="s">
        <v>210</v>
      </c>
      <c r="B40">
        <v>21306</v>
      </c>
    </row>
    <row r="41" spans="1:2" x14ac:dyDescent="0.3">
      <c r="A41" s="8" t="s">
        <v>138</v>
      </c>
      <c r="B41">
        <v>15467</v>
      </c>
    </row>
    <row r="42" spans="1:2" x14ac:dyDescent="0.3">
      <c r="A42" s="8" t="s">
        <v>206</v>
      </c>
      <c r="B42">
        <v>12128</v>
      </c>
    </row>
    <row r="43" spans="1:2" hidden="1" x14ac:dyDescent="0.3">
      <c r="A43" s="8" t="s">
        <v>7</v>
      </c>
      <c r="B43">
        <v>8253104</v>
      </c>
    </row>
  </sheetData>
  <pageMargins left="0.7" right="0.7" top="0.75" bottom="0.75" header="0.3" footer="0.3"/>
  <pageSetup scale="63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B63A-0D8E-4187-A7F9-D097D2AD9793}">
  <sheetPr>
    <pageSetUpPr fitToPage="1"/>
  </sheetPr>
  <dimension ref="A2:B19"/>
  <sheetViews>
    <sheetView showGridLines="0" zoomScaleNormal="100" workbookViewId="0">
      <selection activeCell="J37" sqref="J37"/>
    </sheetView>
  </sheetViews>
  <sheetFormatPr defaultRowHeight="14.4" x14ac:dyDescent="0.3"/>
  <cols>
    <col min="1" max="1" width="12.77734375" bestFit="1" customWidth="1"/>
    <col min="2" max="2" width="15.109375" bestFit="1" customWidth="1"/>
    <col min="3" max="3" width="8.88671875" bestFit="1" customWidth="1"/>
    <col min="4" max="4" width="8.6640625" bestFit="1" customWidth="1"/>
    <col min="5" max="5" width="11" customWidth="1"/>
    <col min="6" max="6" width="23" customWidth="1"/>
    <col min="7" max="7" width="20.6640625" customWidth="1"/>
    <col min="8" max="10" width="5" bestFit="1" customWidth="1"/>
    <col min="11" max="11" width="13.77734375" bestFit="1" customWidth="1"/>
    <col min="12" max="12" width="10.6640625" bestFit="1" customWidth="1"/>
    <col min="13" max="15" width="5" bestFit="1" customWidth="1"/>
    <col min="16" max="16" width="13.44140625" bestFit="1" customWidth="1"/>
    <col min="17" max="17" width="11" bestFit="1" customWidth="1"/>
  </cols>
  <sheetData>
    <row r="2" spans="1:2" ht="23.4" x14ac:dyDescent="0.45">
      <c r="B2" s="14" t="s">
        <v>255</v>
      </c>
    </row>
    <row r="3" spans="1:2" x14ac:dyDescent="0.3">
      <c r="B3" s="15" t="s">
        <v>256</v>
      </c>
    </row>
    <row r="7" spans="1:2" x14ac:dyDescent="0.3">
      <c r="A7" s="13" t="s">
        <v>251</v>
      </c>
      <c r="B7" t="s">
        <v>257</v>
      </c>
    </row>
    <row r="8" spans="1:2" x14ac:dyDescent="0.3">
      <c r="A8" s="8" t="s">
        <v>81</v>
      </c>
      <c r="B8" s="26">
        <v>26319.974999999999</v>
      </c>
    </row>
    <row r="9" spans="1:2" x14ac:dyDescent="0.3">
      <c r="A9" s="8" t="s">
        <v>59</v>
      </c>
      <c r="B9" s="26">
        <v>27850.156521739129</v>
      </c>
    </row>
    <row r="10" spans="1:2" hidden="1" x14ac:dyDescent="0.3">
      <c r="A10" s="8" t="s">
        <v>7</v>
      </c>
      <c r="B10" s="26">
        <v>27455.270967741937</v>
      </c>
    </row>
    <row r="16" spans="1:2" ht="28.2" customHeight="1" x14ac:dyDescent="0.3"/>
    <row r="17" ht="28.2" customHeight="1" x14ac:dyDescent="0.3"/>
    <row r="18" ht="29.4" customHeight="1" x14ac:dyDescent="0.3"/>
    <row r="19" ht="28.2" customHeight="1" x14ac:dyDescent="0.3"/>
  </sheetData>
  <pageMargins left="0.7" right="0.7" top="0.75" bottom="0.75" header="0.3" footer="0.3"/>
  <pageSetup scale="82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F042-3FBF-47C6-A5FE-9156F0604F5A}">
  <sheetPr>
    <pageSetUpPr fitToPage="1"/>
  </sheetPr>
  <dimension ref="A1:F11"/>
  <sheetViews>
    <sheetView showGridLines="0" zoomScale="90" zoomScaleNormal="90" workbookViewId="0">
      <selection activeCell="F1" sqref="F1"/>
    </sheetView>
  </sheetViews>
  <sheetFormatPr defaultRowHeight="14.4" x14ac:dyDescent="0.3"/>
  <cols>
    <col min="1" max="1" width="12.88671875" bestFit="1" customWidth="1"/>
    <col min="2" max="2" width="22.88671875" bestFit="1" customWidth="1"/>
    <col min="3" max="3" width="15" bestFit="1" customWidth="1"/>
    <col min="4" max="8" width="3.21875" bestFit="1" customWidth="1"/>
    <col min="9" max="13" width="4.33203125" bestFit="1" customWidth="1"/>
    <col min="14" max="14" width="10.77734375" bestFit="1" customWidth="1"/>
  </cols>
  <sheetData>
    <row r="1" spans="1:6" ht="23.4" x14ac:dyDescent="0.45">
      <c r="F1" s="14" t="s">
        <v>258</v>
      </c>
    </row>
    <row r="2" spans="1:6" x14ac:dyDescent="0.3">
      <c r="F2" t="s">
        <v>254</v>
      </c>
    </row>
    <row r="7" spans="1:6" x14ac:dyDescent="0.3">
      <c r="A7" s="13" t="s">
        <v>251</v>
      </c>
      <c r="B7" t="s">
        <v>259</v>
      </c>
    </row>
    <row r="8" spans="1:6" x14ac:dyDescent="0.3">
      <c r="A8" s="8" t="s">
        <v>249</v>
      </c>
      <c r="B8" s="27">
        <v>19.888888888888889</v>
      </c>
    </row>
    <row r="9" spans="1:6" x14ac:dyDescent="0.3">
      <c r="A9" s="8" t="s">
        <v>247</v>
      </c>
      <c r="B9" s="27">
        <v>23.861111111111111</v>
      </c>
    </row>
    <row r="10" spans="1:6" x14ac:dyDescent="0.3">
      <c r="A10" s="8" t="s">
        <v>250</v>
      </c>
      <c r="B10" s="27">
        <v>38</v>
      </c>
    </row>
    <row r="11" spans="1:6" hidden="1" x14ac:dyDescent="0.3">
      <c r="A11" s="8" t="s">
        <v>7</v>
      </c>
      <c r="B11" s="27">
        <v>23.812903225806451</v>
      </c>
    </row>
  </sheetData>
  <pageMargins left="0.7" right="0.7" top="0.75" bottom="0.75" header="0.3" footer="0.3"/>
  <pageSetup scale="5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7DAF-E427-4672-A869-ED29C629A67E}">
  <sheetPr>
    <pageSetUpPr fitToPage="1"/>
  </sheetPr>
  <dimension ref="A1:F18"/>
  <sheetViews>
    <sheetView showGridLines="0" topLeftCell="A5" zoomScale="80" zoomScaleNormal="80" workbookViewId="0">
      <selection activeCell="F1" sqref="F1"/>
    </sheetView>
  </sheetViews>
  <sheetFormatPr defaultRowHeight="14.4" x14ac:dyDescent="0.3"/>
  <cols>
    <col min="1" max="1" width="14.6640625" bestFit="1" customWidth="1"/>
    <col min="2" max="2" width="11.88671875" bestFit="1" customWidth="1"/>
    <col min="3" max="3" width="8.88671875" bestFit="1" customWidth="1"/>
    <col min="4" max="4" width="6.5546875" bestFit="1" customWidth="1"/>
    <col min="5" max="5" width="6.33203125" bestFit="1" customWidth="1"/>
    <col min="6" max="6" width="11.21875" bestFit="1" customWidth="1"/>
    <col min="7" max="7" width="11" bestFit="1" customWidth="1"/>
  </cols>
  <sheetData>
    <row r="1" spans="1:6" ht="31.2" x14ac:dyDescent="0.6">
      <c r="F1" s="23" t="s">
        <v>260</v>
      </c>
    </row>
    <row r="2" spans="1:6" ht="18" x14ac:dyDescent="0.35">
      <c r="F2" s="20" t="s">
        <v>256</v>
      </c>
    </row>
    <row r="7" spans="1:6" x14ac:dyDescent="0.3">
      <c r="A7" s="13" t="s">
        <v>251</v>
      </c>
      <c r="B7" t="s">
        <v>261</v>
      </c>
    </row>
    <row r="8" spans="1:6" x14ac:dyDescent="0.3">
      <c r="A8" s="8" t="s">
        <v>178</v>
      </c>
      <c r="B8">
        <v>85500</v>
      </c>
    </row>
    <row r="9" spans="1:6" x14ac:dyDescent="0.3">
      <c r="A9" s="8" t="s">
        <v>174</v>
      </c>
      <c r="B9">
        <v>82600</v>
      </c>
    </row>
    <row r="10" spans="1:6" x14ac:dyDescent="0.3">
      <c r="A10" s="8" t="s">
        <v>209</v>
      </c>
      <c r="B10">
        <v>74970</v>
      </c>
    </row>
    <row r="11" spans="1:6" x14ac:dyDescent="0.3">
      <c r="A11" s="8" t="s">
        <v>208</v>
      </c>
      <c r="B11">
        <v>71020</v>
      </c>
    </row>
    <row r="12" spans="1:6" x14ac:dyDescent="0.3">
      <c r="A12" s="8" t="s">
        <v>107</v>
      </c>
      <c r="B12">
        <v>69725</v>
      </c>
    </row>
    <row r="13" spans="1:6" x14ac:dyDescent="0.3">
      <c r="A13" s="8" t="s">
        <v>173</v>
      </c>
      <c r="B13">
        <v>69700</v>
      </c>
    </row>
    <row r="14" spans="1:6" x14ac:dyDescent="0.3">
      <c r="A14" s="8" t="s">
        <v>65</v>
      </c>
      <c r="B14">
        <v>62000</v>
      </c>
    </row>
    <row r="15" spans="1:6" x14ac:dyDescent="0.3">
      <c r="A15" s="8" t="s">
        <v>149</v>
      </c>
      <c r="B15">
        <v>60105</v>
      </c>
    </row>
    <row r="16" spans="1:6" x14ac:dyDescent="0.3">
      <c r="A16" s="8" t="s">
        <v>88</v>
      </c>
      <c r="B16">
        <v>55705</v>
      </c>
    </row>
    <row r="17" spans="1:2" x14ac:dyDescent="0.3">
      <c r="A17" s="8" t="s">
        <v>148</v>
      </c>
      <c r="B17">
        <v>54005</v>
      </c>
    </row>
    <row r="18" spans="1:2" hidden="1" x14ac:dyDescent="0.3">
      <c r="A18" s="8" t="s">
        <v>7</v>
      </c>
      <c r="B18">
        <v>85500</v>
      </c>
    </row>
  </sheetData>
  <pageMargins left="0.7" right="0.7" top="0.75" bottom="0.75" header="0.3" footer="0.3"/>
  <pageSetup scale="68" fitToHeight="2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57DDB-F2AD-4181-BC14-62E2A3C70704}">
  <sheetPr>
    <pageSetUpPr fitToPage="1"/>
  </sheetPr>
  <dimension ref="A1:Q23"/>
  <sheetViews>
    <sheetView showGridLines="0" topLeftCell="A39" zoomScale="85" zoomScaleNormal="85" workbookViewId="0">
      <selection activeCell="F1" sqref="F1"/>
    </sheetView>
  </sheetViews>
  <sheetFormatPr defaultRowHeight="14.4" x14ac:dyDescent="0.3"/>
  <cols>
    <col min="1" max="1" width="13.88671875" bestFit="1" customWidth="1"/>
    <col min="2" max="2" width="22.33203125" style="28" bestFit="1" customWidth="1"/>
    <col min="3" max="3" width="13" customWidth="1"/>
    <col min="4" max="4" width="13.77734375" customWidth="1"/>
    <col min="5" max="5" width="4.44140625" bestFit="1" customWidth="1"/>
    <col min="6" max="6" width="4" bestFit="1" customWidth="1"/>
    <col min="7" max="7" width="11" bestFit="1" customWidth="1"/>
  </cols>
  <sheetData>
    <row r="1" spans="1:6" ht="33.6" x14ac:dyDescent="0.65">
      <c r="F1" s="22" t="s">
        <v>262</v>
      </c>
    </row>
    <row r="2" spans="1:6" ht="18" x14ac:dyDescent="0.35">
      <c r="F2" s="20" t="s">
        <v>256</v>
      </c>
    </row>
    <row r="4" spans="1:6" x14ac:dyDescent="0.3">
      <c r="A4" s="1"/>
      <c r="B4" s="29"/>
    </row>
    <row r="5" spans="1:6" ht="51.6" customHeight="1" x14ac:dyDescent="0.3"/>
    <row r="7" spans="1:6" x14ac:dyDescent="0.3">
      <c r="A7" s="13" t="s">
        <v>251</v>
      </c>
      <c r="B7" s="28" t="s">
        <v>263</v>
      </c>
    </row>
    <row r="8" spans="1:6" x14ac:dyDescent="0.3">
      <c r="A8" s="8" t="s">
        <v>209</v>
      </c>
      <c r="B8" s="28">
        <v>67550</v>
      </c>
    </row>
    <row r="9" spans="1:6" x14ac:dyDescent="0.3">
      <c r="A9" s="8" t="s">
        <v>178</v>
      </c>
      <c r="B9" s="28">
        <v>63423</v>
      </c>
    </row>
    <row r="10" spans="1:6" x14ac:dyDescent="0.3">
      <c r="A10" s="8" t="s">
        <v>208</v>
      </c>
      <c r="B10" s="28">
        <v>60625</v>
      </c>
    </row>
    <row r="11" spans="1:6" x14ac:dyDescent="0.3">
      <c r="A11" s="8" t="s">
        <v>174</v>
      </c>
      <c r="B11" s="28">
        <v>58600</v>
      </c>
    </row>
    <row r="12" spans="1:6" x14ac:dyDescent="0.3">
      <c r="A12" s="8" t="s">
        <v>107</v>
      </c>
      <c r="B12" s="28">
        <v>58470</v>
      </c>
    </row>
    <row r="13" spans="1:6" x14ac:dyDescent="0.3">
      <c r="A13" s="8" t="s">
        <v>173</v>
      </c>
      <c r="B13" s="28">
        <v>50375</v>
      </c>
    </row>
    <row r="14" spans="1:6" x14ac:dyDescent="0.3">
      <c r="A14" s="8" t="s">
        <v>149</v>
      </c>
      <c r="B14" s="28">
        <v>43870</v>
      </c>
    </row>
    <row r="15" spans="1:6" x14ac:dyDescent="0.3">
      <c r="A15" s="8" t="s">
        <v>172</v>
      </c>
      <c r="B15" s="28">
        <v>41450</v>
      </c>
    </row>
    <row r="16" spans="1:6" x14ac:dyDescent="0.3">
      <c r="A16" s="8" t="s">
        <v>207</v>
      </c>
      <c r="B16" s="28">
        <v>41250</v>
      </c>
    </row>
    <row r="17" spans="1:17" x14ac:dyDescent="0.3">
      <c r="A17" s="8" t="s">
        <v>148</v>
      </c>
      <c r="B17" s="28">
        <v>40375</v>
      </c>
    </row>
    <row r="18" spans="1:17" hidden="1" x14ac:dyDescent="0.3">
      <c r="A18" s="8" t="s">
        <v>7</v>
      </c>
      <c r="B18" s="28">
        <v>67550</v>
      </c>
    </row>
    <row r="23" spans="1:17" x14ac:dyDescent="0.3">
      <c r="Q23" s="21"/>
    </row>
  </sheetData>
  <pageMargins left="0.7" right="0.7" top="0.75" bottom="0.75" header="0.3" footer="0.3"/>
  <pageSetup scale="52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showGridLines="0" zoomScale="80" zoomScaleNormal="80" workbookViewId="0">
      <selection activeCell="F1" sqref="F1"/>
    </sheetView>
  </sheetViews>
  <sheetFormatPr defaultRowHeight="14.4" x14ac:dyDescent="0.3"/>
  <cols>
    <col min="1" max="1" width="13.77734375" bestFit="1" customWidth="1"/>
    <col min="2" max="2" width="14.44140625" style="28" bestFit="1" customWidth="1"/>
    <col min="3" max="3" width="13" customWidth="1"/>
    <col min="4" max="4" width="13.77734375" customWidth="1"/>
    <col min="5" max="5" width="4.44140625" bestFit="1" customWidth="1"/>
    <col min="6" max="6" width="4" bestFit="1" customWidth="1"/>
    <col min="7" max="7" width="11" bestFit="1" customWidth="1"/>
  </cols>
  <sheetData>
    <row r="1" spans="1:6" ht="33.6" x14ac:dyDescent="0.65">
      <c r="F1" s="22" t="s">
        <v>264</v>
      </c>
    </row>
    <row r="2" spans="1:6" ht="18" x14ac:dyDescent="0.35">
      <c r="F2" s="20" t="s">
        <v>256</v>
      </c>
    </row>
    <row r="4" spans="1:6" x14ac:dyDescent="0.3">
      <c r="A4" s="1"/>
      <c r="B4" s="29"/>
    </row>
    <row r="5" spans="1:6" ht="51.6" customHeight="1" x14ac:dyDescent="0.3">
      <c r="B5"/>
    </row>
    <row r="6" spans="1:6" x14ac:dyDescent="0.3">
      <c r="A6" s="13" t="s">
        <v>251</v>
      </c>
      <c r="B6" t="s">
        <v>265</v>
      </c>
    </row>
    <row r="7" spans="1:6" x14ac:dyDescent="0.3">
      <c r="A7" s="8" t="s">
        <v>246</v>
      </c>
      <c r="B7">
        <v>71</v>
      </c>
    </row>
    <row r="8" spans="1:6" x14ac:dyDescent="0.3">
      <c r="A8" s="8" t="s">
        <v>248</v>
      </c>
      <c r="B8">
        <v>84</v>
      </c>
    </row>
    <row r="9" spans="1:6" hidden="1" x14ac:dyDescent="0.3">
      <c r="A9" s="8" t="s">
        <v>7</v>
      </c>
      <c r="B9">
        <v>155</v>
      </c>
    </row>
    <row r="10" spans="1:6" x14ac:dyDescent="0.3">
      <c r="B10"/>
    </row>
    <row r="11" spans="1:6" x14ac:dyDescent="0.3">
      <c r="B11"/>
    </row>
    <row r="12" spans="1:6" x14ac:dyDescent="0.3">
      <c r="B12"/>
    </row>
    <row r="13" spans="1:6" x14ac:dyDescent="0.3">
      <c r="B13"/>
    </row>
    <row r="14" spans="1:6" x14ac:dyDescent="0.3">
      <c r="B14"/>
    </row>
    <row r="15" spans="1:6" x14ac:dyDescent="0.3">
      <c r="B15"/>
    </row>
    <row r="16" spans="1:6" x14ac:dyDescent="0.3">
      <c r="B16"/>
    </row>
    <row r="17" spans="2:17" x14ac:dyDescent="0.3">
      <c r="B17"/>
    </row>
    <row r="18" spans="2:17" hidden="1" x14ac:dyDescent="0.3">
      <c r="B18"/>
    </row>
    <row r="19" spans="2:17" x14ac:dyDescent="0.3">
      <c r="B19"/>
    </row>
    <row r="20" spans="2:17" x14ac:dyDescent="0.3">
      <c r="B20"/>
    </row>
    <row r="21" spans="2:17" x14ac:dyDescent="0.3">
      <c r="B21"/>
    </row>
    <row r="22" spans="2:17" x14ac:dyDescent="0.3">
      <c r="B22"/>
    </row>
    <row r="23" spans="2:17" x14ac:dyDescent="0.3">
      <c r="B23"/>
      <c r="Q23" s="21"/>
    </row>
  </sheetData>
  <pageMargins left="0.7" right="0.7" top="0.75" bottom="0.75" header="0.3" footer="0.3"/>
  <pageSetup scale="55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E00F-F440-4FD6-8BF4-09A1249C121E}">
  <sheetPr>
    <pageSetUpPr fitToPage="1"/>
  </sheetPr>
  <dimension ref="A1"/>
  <sheetViews>
    <sheetView showGridLines="0" zoomScaleNormal="100" workbookViewId="0">
      <selection activeCell="F38" sqref="F38"/>
    </sheetView>
  </sheetViews>
  <sheetFormatPr defaultRowHeight="14.4" x14ac:dyDescent="0.3"/>
  <sheetData/>
  <pageMargins left="0.7" right="0.7" top="0.75" bottom="0.75" header="0.3" footer="0.3"/>
  <pageSetup scale="68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9C14-592C-495E-8356-DB7BBA9569EB}">
  <dimension ref="A1:L156"/>
  <sheetViews>
    <sheetView zoomScale="90" zoomScaleNormal="90" workbookViewId="0">
      <selection activeCell="N21" sqref="N21"/>
    </sheetView>
  </sheetViews>
  <sheetFormatPr defaultRowHeight="14.4" x14ac:dyDescent="0.3"/>
  <cols>
    <col min="1" max="1" width="15.109375" bestFit="1" customWidth="1"/>
    <col min="2" max="2" width="15" bestFit="1" customWidth="1"/>
    <col min="3" max="3" width="11.77734375" bestFit="1" customWidth="1"/>
    <col min="4" max="4" width="7.44140625" bestFit="1" customWidth="1"/>
    <col min="5" max="5" width="18.77734375" bestFit="1" customWidth="1"/>
    <col min="6" max="6" width="17.77734375" customWidth="1"/>
    <col min="7" max="7" width="17.33203125" bestFit="1" customWidth="1"/>
    <col min="8" max="8" width="12.88671875" bestFit="1" customWidth="1"/>
    <col min="9" max="9" width="13.77734375" bestFit="1" customWidth="1"/>
    <col min="10" max="10" width="11" bestFit="1" customWidth="1"/>
    <col min="11" max="11" width="14.5546875" bestFit="1" customWidth="1"/>
    <col min="12" max="12" width="15.77734375" bestFit="1" customWidth="1"/>
    <col min="13" max="13" width="14.77734375" bestFit="1" customWidth="1"/>
  </cols>
  <sheetData>
    <row r="1" spans="1:12" x14ac:dyDescent="0.3">
      <c r="A1" t="s">
        <v>9</v>
      </c>
      <c r="B1" t="s">
        <v>11</v>
      </c>
      <c r="C1" t="s">
        <v>13</v>
      </c>
      <c r="D1" t="s">
        <v>51</v>
      </c>
      <c r="E1" t="s">
        <v>52</v>
      </c>
      <c r="F1" t="s">
        <v>18</v>
      </c>
      <c r="G1" t="s">
        <v>53</v>
      </c>
      <c r="H1" t="s">
        <v>20</v>
      </c>
      <c r="I1" t="s">
        <v>22</v>
      </c>
      <c r="J1" t="s">
        <v>54</v>
      </c>
      <c r="K1" t="s">
        <v>55</v>
      </c>
      <c r="L1" t="s">
        <v>56</v>
      </c>
    </row>
    <row r="2" spans="1:12" x14ac:dyDescent="0.3">
      <c r="A2" t="s">
        <v>57</v>
      </c>
      <c r="B2" t="s">
        <v>58</v>
      </c>
      <c r="C2">
        <v>16919</v>
      </c>
      <c r="D2">
        <v>21500</v>
      </c>
      <c r="E2">
        <v>16360</v>
      </c>
      <c r="F2">
        <v>0.76093023255813952</v>
      </c>
      <c r="G2" t="s">
        <v>246</v>
      </c>
      <c r="H2">
        <v>1.8</v>
      </c>
      <c r="I2">
        <v>140</v>
      </c>
      <c r="J2" t="s">
        <v>247</v>
      </c>
      <c r="K2" t="s">
        <v>59</v>
      </c>
      <c r="L2">
        <v>28</v>
      </c>
    </row>
    <row r="3" spans="1:12" x14ac:dyDescent="0.3">
      <c r="A3" t="s">
        <v>57</v>
      </c>
      <c r="B3" t="s">
        <v>60</v>
      </c>
      <c r="C3">
        <v>39384</v>
      </c>
      <c r="D3">
        <v>28400</v>
      </c>
      <c r="E3">
        <v>19875</v>
      </c>
      <c r="F3">
        <v>0.69982394366197187</v>
      </c>
      <c r="G3" t="s">
        <v>246</v>
      </c>
      <c r="H3">
        <v>3.2</v>
      </c>
      <c r="I3">
        <v>225</v>
      </c>
      <c r="J3" t="s">
        <v>247</v>
      </c>
      <c r="K3" t="s">
        <v>59</v>
      </c>
      <c r="L3">
        <v>25</v>
      </c>
    </row>
    <row r="4" spans="1:12" x14ac:dyDescent="0.3">
      <c r="A4" t="s">
        <v>57</v>
      </c>
      <c r="B4" t="s">
        <v>61</v>
      </c>
      <c r="C4">
        <v>8588</v>
      </c>
      <c r="D4">
        <v>42000</v>
      </c>
      <c r="E4">
        <v>29725</v>
      </c>
      <c r="F4">
        <v>0.70773809523809528</v>
      </c>
      <c r="G4" t="s">
        <v>246</v>
      </c>
      <c r="H4">
        <v>3.5</v>
      </c>
      <c r="I4">
        <v>210</v>
      </c>
      <c r="J4" t="s">
        <v>247</v>
      </c>
      <c r="K4" t="s">
        <v>59</v>
      </c>
      <c r="L4">
        <v>22</v>
      </c>
    </row>
    <row r="5" spans="1:12" x14ac:dyDescent="0.3">
      <c r="A5" t="s">
        <v>62</v>
      </c>
      <c r="B5" t="s">
        <v>63</v>
      </c>
      <c r="C5">
        <v>20397</v>
      </c>
      <c r="D5">
        <v>23990</v>
      </c>
      <c r="E5">
        <v>22255</v>
      </c>
      <c r="F5">
        <v>0.92767819924968742</v>
      </c>
      <c r="G5" t="s">
        <v>246</v>
      </c>
      <c r="H5">
        <v>1.8</v>
      </c>
      <c r="I5">
        <v>150</v>
      </c>
      <c r="J5" t="s">
        <v>247</v>
      </c>
      <c r="K5" t="s">
        <v>59</v>
      </c>
      <c r="L5">
        <v>27</v>
      </c>
    </row>
    <row r="6" spans="1:12" x14ac:dyDescent="0.3">
      <c r="A6" t="s">
        <v>62</v>
      </c>
      <c r="B6" t="s">
        <v>64</v>
      </c>
      <c r="C6">
        <v>18780</v>
      </c>
      <c r="D6">
        <v>33950</v>
      </c>
      <c r="E6">
        <v>23555</v>
      </c>
      <c r="F6">
        <v>0.6938144329896907</v>
      </c>
      <c r="G6" t="s">
        <v>246</v>
      </c>
      <c r="H6">
        <v>2.8</v>
      </c>
      <c r="I6">
        <v>200</v>
      </c>
      <c r="J6" t="s">
        <v>247</v>
      </c>
      <c r="K6" t="s">
        <v>59</v>
      </c>
      <c r="L6">
        <v>22</v>
      </c>
    </row>
    <row r="7" spans="1:12" x14ac:dyDescent="0.3">
      <c r="A7" t="s">
        <v>62</v>
      </c>
      <c r="B7" t="s">
        <v>65</v>
      </c>
      <c r="C7">
        <v>1380</v>
      </c>
      <c r="D7">
        <v>62000</v>
      </c>
      <c r="E7">
        <v>39000</v>
      </c>
      <c r="F7">
        <v>0.62903225806451613</v>
      </c>
      <c r="G7" t="s">
        <v>248</v>
      </c>
      <c r="H7">
        <v>4.2</v>
      </c>
      <c r="I7">
        <v>310</v>
      </c>
      <c r="J7" t="s">
        <v>249</v>
      </c>
      <c r="K7" t="s">
        <v>59</v>
      </c>
      <c r="L7">
        <v>21</v>
      </c>
    </row>
    <row r="8" spans="1:12" x14ac:dyDescent="0.3">
      <c r="A8" t="s">
        <v>66</v>
      </c>
      <c r="B8" t="s">
        <v>67</v>
      </c>
      <c r="C8">
        <v>19747</v>
      </c>
      <c r="D8">
        <v>26990</v>
      </c>
      <c r="E8">
        <v>24500</v>
      </c>
      <c r="F8">
        <v>0.9077436087439793</v>
      </c>
      <c r="G8" t="s">
        <v>246</v>
      </c>
      <c r="H8">
        <v>2.5</v>
      </c>
      <c r="I8">
        <v>170</v>
      </c>
      <c r="J8" t="s">
        <v>247</v>
      </c>
      <c r="K8" t="s">
        <v>59</v>
      </c>
      <c r="L8">
        <v>26</v>
      </c>
    </row>
    <row r="9" spans="1:12" x14ac:dyDescent="0.3">
      <c r="A9" t="s">
        <v>66</v>
      </c>
      <c r="B9" t="s">
        <v>68</v>
      </c>
      <c r="C9">
        <v>9231</v>
      </c>
      <c r="D9">
        <v>33400</v>
      </c>
      <c r="E9">
        <v>28675</v>
      </c>
      <c r="F9">
        <v>0.85853293413173648</v>
      </c>
      <c r="G9" t="s">
        <v>246</v>
      </c>
      <c r="H9">
        <v>2.8</v>
      </c>
      <c r="I9">
        <v>193</v>
      </c>
      <c r="J9" t="s">
        <v>247</v>
      </c>
      <c r="K9" t="s">
        <v>59</v>
      </c>
      <c r="L9">
        <v>24</v>
      </c>
    </row>
    <row r="10" spans="1:12" x14ac:dyDescent="0.3">
      <c r="A10" t="s">
        <v>66</v>
      </c>
      <c r="B10" t="s">
        <v>69</v>
      </c>
      <c r="C10">
        <v>17527</v>
      </c>
      <c r="D10">
        <v>38900</v>
      </c>
      <c r="E10">
        <v>36125</v>
      </c>
      <c r="F10">
        <v>0.92866323907455017</v>
      </c>
      <c r="G10" t="s">
        <v>246</v>
      </c>
      <c r="H10">
        <v>2.8</v>
      </c>
      <c r="I10">
        <v>193</v>
      </c>
      <c r="J10" t="s">
        <v>247</v>
      </c>
      <c r="K10" t="s">
        <v>59</v>
      </c>
      <c r="L10">
        <v>25</v>
      </c>
    </row>
    <row r="11" spans="1:12" x14ac:dyDescent="0.3">
      <c r="A11" t="s">
        <v>70</v>
      </c>
      <c r="B11" t="s">
        <v>71</v>
      </c>
      <c r="C11">
        <v>91561</v>
      </c>
      <c r="D11">
        <v>21975</v>
      </c>
      <c r="E11">
        <v>12475</v>
      </c>
      <c r="F11">
        <v>0.56769055745164965</v>
      </c>
      <c r="G11" t="s">
        <v>248</v>
      </c>
      <c r="H11">
        <v>3.1</v>
      </c>
      <c r="I11">
        <v>175</v>
      </c>
      <c r="J11" t="s">
        <v>247</v>
      </c>
      <c r="K11" t="s">
        <v>59</v>
      </c>
      <c r="L11">
        <v>25</v>
      </c>
    </row>
    <row r="12" spans="1:12" x14ac:dyDescent="0.3">
      <c r="A12" t="s">
        <v>70</v>
      </c>
      <c r="B12" t="s">
        <v>72</v>
      </c>
      <c r="C12">
        <v>39350</v>
      </c>
      <c r="D12">
        <v>25300</v>
      </c>
      <c r="E12">
        <v>13740</v>
      </c>
      <c r="F12">
        <v>0.54308300395256914</v>
      </c>
      <c r="G12" t="s">
        <v>248</v>
      </c>
      <c r="H12">
        <v>3.8</v>
      </c>
      <c r="I12">
        <v>240</v>
      </c>
      <c r="J12" t="s">
        <v>247</v>
      </c>
      <c r="K12" t="s">
        <v>59</v>
      </c>
      <c r="L12">
        <v>23</v>
      </c>
    </row>
    <row r="13" spans="1:12" x14ac:dyDescent="0.3">
      <c r="A13" t="s">
        <v>70</v>
      </c>
      <c r="B13" t="s">
        <v>73</v>
      </c>
      <c r="C13">
        <v>27851</v>
      </c>
      <c r="D13">
        <v>31965</v>
      </c>
      <c r="E13">
        <v>20190</v>
      </c>
      <c r="F13">
        <v>0.63162834350070385</v>
      </c>
      <c r="G13" t="s">
        <v>248</v>
      </c>
      <c r="H13">
        <v>3.8</v>
      </c>
      <c r="I13">
        <v>205</v>
      </c>
      <c r="J13" t="s">
        <v>247</v>
      </c>
      <c r="K13" t="s">
        <v>59</v>
      </c>
      <c r="L13">
        <v>24</v>
      </c>
    </row>
    <row r="14" spans="1:12" x14ac:dyDescent="0.3">
      <c r="A14" t="s">
        <v>70</v>
      </c>
      <c r="B14" t="s">
        <v>74</v>
      </c>
      <c r="C14">
        <v>83257</v>
      </c>
      <c r="D14">
        <v>27885</v>
      </c>
      <c r="E14">
        <v>13360</v>
      </c>
      <c r="F14">
        <v>0.4791106329567868</v>
      </c>
      <c r="G14" t="s">
        <v>248</v>
      </c>
      <c r="H14">
        <v>3.8</v>
      </c>
      <c r="I14">
        <v>205</v>
      </c>
      <c r="J14" t="s">
        <v>247</v>
      </c>
      <c r="K14" t="s">
        <v>59</v>
      </c>
      <c r="L14">
        <v>25</v>
      </c>
    </row>
    <row r="15" spans="1:12" x14ac:dyDescent="0.3">
      <c r="A15" t="s">
        <v>75</v>
      </c>
      <c r="B15" t="s">
        <v>76</v>
      </c>
      <c r="C15">
        <v>63729</v>
      </c>
      <c r="D15">
        <v>39895</v>
      </c>
      <c r="E15">
        <v>22525</v>
      </c>
      <c r="F15">
        <v>0.56460709362075445</v>
      </c>
      <c r="G15" t="s">
        <v>248</v>
      </c>
      <c r="H15">
        <v>4.5999999999999996</v>
      </c>
      <c r="I15">
        <v>275</v>
      </c>
      <c r="J15" t="s">
        <v>247</v>
      </c>
      <c r="K15" t="s">
        <v>59</v>
      </c>
      <c r="L15">
        <v>22</v>
      </c>
    </row>
    <row r="16" spans="1:12" x14ac:dyDescent="0.3">
      <c r="A16" t="s">
        <v>75</v>
      </c>
      <c r="B16" t="s">
        <v>77</v>
      </c>
      <c r="C16">
        <v>15943</v>
      </c>
      <c r="D16">
        <v>44475</v>
      </c>
      <c r="E16">
        <v>27100</v>
      </c>
      <c r="F16">
        <v>0.60933108487914556</v>
      </c>
      <c r="G16" t="s">
        <v>248</v>
      </c>
      <c r="H16">
        <v>4.5999999999999996</v>
      </c>
      <c r="I16">
        <v>275</v>
      </c>
      <c r="J16" t="s">
        <v>247</v>
      </c>
      <c r="K16" t="s">
        <v>59</v>
      </c>
      <c r="L16">
        <v>22</v>
      </c>
    </row>
    <row r="17" spans="1:12" x14ac:dyDescent="0.3">
      <c r="A17" t="s">
        <v>75</v>
      </c>
      <c r="B17" t="s">
        <v>78</v>
      </c>
      <c r="C17">
        <v>6536</v>
      </c>
      <c r="D17">
        <v>39665</v>
      </c>
      <c r="E17">
        <v>25725</v>
      </c>
      <c r="F17">
        <v>0.6485566620446237</v>
      </c>
      <c r="G17" t="s">
        <v>248</v>
      </c>
      <c r="H17">
        <v>4.5999999999999996</v>
      </c>
      <c r="I17">
        <v>275</v>
      </c>
      <c r="J17" t="s">
        <v>247</v>
      </c>
      <c r="K17" t="s">
        <v>59</v>
      </c>
      <c r="L17">
        <v>22</v>
      </c>
    </row>
    <row r="18" spans="1:12" x14ac:dyDescent="0.3">
      <c r="A18" t="s">
        <v>75</v>
      </c>
      <c r="B18" t="s">
        <v>79</v>
      </c>
      <c r="C18">
        <v>11185</v>
      </c>
      <c r="D18">
        <v>31010</v>
      </c>
      <c r="E18">
        <v>18225</v>
      </c>
      <c r="F18">
        <v>0.58771364076104482</v>
      </c>
      <c r="G18" t="s">
        <v>248</v>
      </c>
      <c r="H18">
        <v>3</v>
      </c>
      <c r="I18">
        <v>200</v>
      </c>
      <c r="J18" t="s">
        <v>247</v>
      </c>
      <c r="K18" t="s">
        <v>59</v>
      </c>
      <c r="L18">
        <v>22</v>
      </c>
    </row>
    <row r="19" spans="1:12" x14ac:dyDescent="0.3">
      <c r="A19" t="s">
        <v>75</v>
      </c>
      <c r="B19" t="s">
        <v>80</v>
      </c>
      <c r="C19">
        <v>14785</v>
      </c>
      <c r="D19">
        <v>46225</v>
      </c>
      <c r="E19">
        <v>31245</v>
      </c>
      <c r="F19">
        <v>0.67593293672255272</v>
      </c>
      <c r="G19" t="s">
        <v>248</v>
      </c>
      <c r="H19">
        <v>5.7</v>
      </c>
      <c r="I19">
        <v>255</v>
      </c>
      <c r="J19" t="s">
        <v>247</v>
      </c>
      <c r="K19" t="s">
        <v>81</v>
      </c>
      <c r="L19">
        <v>15</v>
      </c>
    </row>
    <row r="20" spans="1:12" x14ac:dyDescent="0.3">
      <c r="A20" t="s">
        <v>82</v>
      </c>
      <c r="B20" t="s">
        <v>83</v>
      </c>
      <c r="C20">
        <v>145519</v>
      </c>
      <c r="D20">
        <v>13260</v>
      </c>
      <c r="E20">
        <v>9250</v>
      </c>
      <c r="F20">
        <v>0.69758672699849167</v>
      </c>
      <c r="G20" t="s">
        <v>246</v>
      </c>
      <c r="H20">
        <v>2.2000000000000002</v>
      </c>
      <c r="I20">
        <v>115</v>
      </c>
      <c r="J20" t="s">
        <v>247</v>
      </c>
      <c r="K20" t="s">
        <v>59</v>
      </c>
      <c r="L20">
        <v>27</v>
      </c>
    </row>
    <row r="21" spans="1:12" x14ac:dyDescent="0.3">
      <c r="A21" t="s">
        <v>82</v>
      </c>
      <c r="B21" t="s">
        <v>84</v>
      </c>
      <c r="C21">
        <v>135126</v>
      </c>
      <c r="D21">
        <v>16535</v>
      </c>
      <c r="E21">
        <v>11225</v>
      </c>
      <c r="F21">
        <v>0.67886301784094349</v>
      </c>
      <c r="G21" t="s">
        <v>248</v>
      </c>
      <c r="H21">
        <v>3.1</v>
      </c>
      <c r="I21">
        <v>170</v>
      </c>
      <c r="J21" t="s">
        <v>247</v>
      </c>
      <c r="K21" t="s">
        <v>59</v>
      </c>
      <c r="L21">
        <v>25</v>
      </c>
    </row>
    <row r="22" spans="1:12" x14ac:dyDescent="0.3">
      <c r="A22" t="s">
        <v>82</v>
      </c>
      <c r="B22" t="s">
        <v>85</v>
      </c>
      <c r="C22">
        <v>24629</v>
      </c>
      <c r="D22">
        <v>18890</v>
      </c>
      <c r="E22">
        <v>10310</v>
      </c>
      <c r="F22">
        <v>0.54579142403388037</v>
      </c>
      <c r="G22" t="s">
        <v>248</v>
      </c>
      <c r="H22">
        <v>3.1</v>
      </c>
      <c r="I22">
        <v>175</v>
      </c>
      <c r="J22" t="s">
        <v>247</v>
      </c>
      <c r="K22" t="s">
        <v>59</v>
      </c>
      <c r="L22">
        <v>25</v>
      </c>
    </row>
    <row r="23" spans="1:12" x14ac:dyDescent="0.3">
      <c r="A23" t="s">
        <v>82</v>
      </c>
      <c r="B23" t="s">
        <v>86</v>
      </c>
      <c r="C23">
        <v>42593</v>
      </c>
      <c r="D23">
        <v>19390</v>
      </c>
      <c r="E23">
        <v>11525</v>
      </c>
      <c r="F23">
        <v>0.59437854564208359</v>
      </c>
      <c r="G23" t="s">
        <v>248</v>
      </c>
      <c r="H23">
        <v>3.4</v>
      </c>
      <c r="I23">
        <v>180</v>
      </c>
      <c r="J23" t="s">
        <v>247</v>
      </c>
      <c r="K23" t="s">
        <v>59</v>
      </c>
      <c r="L23">
        <v>27</v>
      </c>
    </row>
    <row r="24" spans="1:12" x14ac:dyDescent="0.3">
      <c r="A24" t="s">
        <v>82</v>
      </c>
      <c r="B24" t="s">
        <v>87</v>
      </c>
      <c r="C24">
        <v>26402</v>
      </c>
      <c r="D24">
        <v>24340</v>
      </c>
      <c r="E24">
        <v>13025</v>
      </c>
      <c r="F24">
        <v>0.53512736236647496</v>
      </c>
      <c r="G24" t="s">
        <v>248</v>
      </c>
      <c r="H24">
        <v>3.8</v>
      </c>
      <c r="I24">
        <v>200</v>
      </c>
      <c r="J24" t="s">
        <v>247</v>
      </c>
      <c r="K24" t="s">
        <v>59</v>
      </c>
      <c r="L24">
        <v>25</v>
      </c>
    </row>
    <row r="25" spans="1:12" x14ac:dyDescent="0.3">
      <c r="A25" t="s">
        <v>82</v>
      </c>
      <c r="B25" t="s">
        <v>88</v>
      </c>
      <c r="C25">
        <v>17947</v>
      </c>
      <c r="D25">
        <v>55705</v>
      </c>
      <c r="E25">
        <v>36225</v>
      </c>
      <c r="F25">
        <v>0.65030069114083111</v>
      </c>
      <c r="G25" t="s">
        <v>248</v>
      </c>
      <c r="H25">
        <v>5.7</v>
      </c>
      <c r="I25">
        <v>345</v>
      </c>
      <c r="J25" t="s">
        <v>249</v>
      </c>
      <c r="K25" t="s">
        <v>59</v>
      </c>
      <c r="L25">
        <v>22</v>
      </c>
    </row>
    <row r="26" spans="1:12" x14ac:dyDescent="0.3">
      <c r="A26" t="s">
        <v>82</v>
      </c>
      <c r="B26" t="s">
        <v>89</v>
      </c>
      <c r="C26">
        <v>32299</v>
      </c>
      <c r="D26">
        <v>13960</v>
      </c>
      <c r="E26">
        <v>9125</v>
      </c>
      <c r="F26">
        <v>0.65365329512893988</v>
      </c>
      <c r="G26" t="s">
        <v>248</v>
      </c>
      <c r="H26">
        <v>1.8</v>
      </c>
      <c r="I26">
        <v>120</v>
      </c>
      <c r="J26" t="s">
        <v>247</v>
      </c>
      <c r="K26" t="s">
        <v>59</v>
      </c>
      <c r="L26">
        <v>33</v>
      </c>
    </row>
    <row r="27" spans="1:12" x14ac:dyDescent="0.3">
      <c r="A27" t="s">
        <v>82</v>
      </c>
      <c r="B27" t="s">
        <v>90</v>
      </c>
      <c r="C27">
        <v>21855</v>
      </c>
      <c r="D27">
        <v>9235</v>
      </c>
      <c r="E27">
        <v>5160</v>
      </c>
      <c r="F27">
        <v>0.55874390904168925</v>
      </c>
      <c r="G27" t="s">
        <v>248</v>
      </c>
      <c r="H27">
        <v>1</v>
      </c>
      <c r="I27">
        <v>55</v>
      </c>
      <c r="J27" t="s">
        <v>250</v>
      </c>
      <c r="K27" t="s">
        <v>59</v>
      </c>
      <c r="L27">
        <v>45</v>
      </c>
    </row>
    <row r="28" spans="1:12" x14ac:dyDescent="0.3">
      <c r="A28" t="s">
        <v>82</v>
      </c>
      <c r="B28" t="s">
        <v>91</v>
      </c>
      <c r="C28">
        <v>107995</v>
      </c>
      <c r="D28">
        <v>18890</v>
      </c>
      <c r="E28">
        <v>11550</v>
      </c>
      <c r="F28">
        <v>0.61143462149285333</v>
      </c>
      <c r="G28" t="s">
        <v>248</v>
      </c>
      <c r="H28">
        <v>3.4</v>
      </c>
      <c r="I28">
        <v>180</v>
      </c>
      <c r="J28" t="s">
        <v>247</v>
      </c>
      <c r="K28" t="s">
        <v>59</v>
      </c>
      <c r="L28">
        <v>27</v>
      </c>
    </row>
    <row r="29" spans="1:12" x14ac:dyDescent="0.3">
      <c r="A29" t="s">
        <v>95</v>
      </c>
      <c r="B29" t="s">
        <v>96</v>
      </c>
      <c r="C29">
        <v>7854</v>
      </c>
      <c r="D29">
        <v>19840</v>
      </c>
      <c r="E29">
        <v>12360</v>
      </c>
      <c r="F29">
        <v>0.62298387096774188</v>
      </c>
      <c r="G29" t="s">
        <v>248</v>
      </c>
      <c r="H29">
        <v>2.5</v>
      </c>
      <c r="I29">
        <v>163</v>
      </c>
      <c r="J29" t="s">
        <v>247</v>
      </c>
      <c r="K29" t="s">
        <v>59</v>
      </c>
      <c r="L29">
        <v>24</v>
      </c>
    </row>
    <row r="30" spans="1:12" x14ac:dyDescent="0.3">
      <c r="A30" t="s">
        <v>95</v>
      </c>
      <c r="B30" t="s">
        <v>97</v>
      </c>
      <c r="C30">
        <v>32775</v>
      </c>
      <c r="D30">
        <v>24495</v>
      </c>
      <c r="E30">
        <v>14180</v>
      </c>
      <c r="F30">
        <v>0.57889365176566643</v>
      </c>
      <c r="G30" t="s">
        <v>248</v>
      </c>
      <c r="H30">
        <v>2.5</v>
      </c>
      <c r="I30">
        <v>168</v>
      </c>
      <c r="J30" t="s">
        <v>247</v>
      </c>
      <c r="K30" t="s">
        <v>59</v>
      </c>
      <c r="L30">
        <v>24</v>
      </c>
    </row>
    <row r="31" spans="1:12" x14ac:dyDescent="0.3">
      <c r="A31" t="s">
        <v>95</v>
      </c>
      <c r="B31" t="s">
        <v>98</v>
      </c>
      <c r="C31">
        <v>31148</v>
      </c>
      <c r="D31">
        <v>22245</v>
      </c>
      <c r="E31">
        <v>13725</v>
      </c>
      <c r="F31">
        <v>0.61699258260283207</v>
      </c>
      <c r="G31" t="s">
        <v>248</v>
      </c>
      <c r="H31">
        <v>2.7</v>
      </c>
      <c r="I31">
        <v>200</v>
      </c>
      <c r="J31" t="s">
        <v>247</v>
      </c>
      <c r="K31" t="s">
        <v>59</v>
      </c>
      <c r="L31">
        <v>26</v>
      </c>
    </row>
    <row r="32" spans="1:12" x14ac:dyDescent="0.3">
      <c r="A32" t="s">
        <v>95</v>
      </c>
      <c r="B32" t="s">
        <v>99</v>
      </c>
      <c r="C32">
        <v>32305.999999999996</v>
      </c>
      <c r="D32">
        <v>16480</v>
      </c>
      <c r="E32">
        <v>12640</v>
      </c>
      <c r="F32">
        <v>0.76699029126213591</v>
      </c>
      <c r="G32" t="s">
        <v>246</v>
      </c>
      <c r="H32">
        <v>2</v>
      </c>
      <c r="I32">
        <v>132</v>
      </c>
      <c r="J32" t="s">
        <v>247</v>
      </c>
      <c r="K32" t="s">
        <v>59</v>
      </c>
      <c r="L32">
        <v>27</v>
      </c>
    </row>
    <row r="33" spans="1:12" x14ac:dyDescent="0.3">
      <c r="A33" t="s">
        <v>95</v>
      </c>
      <c r="B33" t="s">
        <v>100</v>
      </c>
      <c r="C33">
        <v>13462</v>
      </c>
      <c r="D33">
        <v>28340</v>
      </c>
      <c r="E33">
        <v>17325</v>
      </c>
      <c r="F33">
        <v>0.61132674664784759</v>
      </c>
      <c r="G33" t="s">
        <v>248</v>
      </c>
      <c r="H33">
        <v>3.5</v>
      </c>
      <c r="I33">
        <v>253</v>
      </c>
      <c r="J33" t="s">
        <v>247</v>
      </c>
      <c r="K33" t="s">
        <v>59</v>
      </c>
      <c r="L33">
        <v>23</v>
      </c>
    </row>
    <row r="34" spans="1:12" x14ac:dyDescent="0.3">
      <c r="A34" t="s">
        <v>95</v>
      </c>
      <c r="B34" t="s">
        <v>101</v>
      </c>
      <c r="C34">
        <v>30696</v>
      </c>
      <c r="D34">
        <v>29185</v>
      </c>
      <c r="E34">
        <v>18425</v>
      </c>
      <c r="F34">
        <v>0.63131745759808122</v>
      </c>
      <c r="G34" t="s">
        <v>248</v>
      </c>
      <c r="H34">
        <v>3.5</v>
      </c>
      <c r="I34">
        <v>253</v>
      </c>
      <c r="J34" t="s">
        <v>247</v>
      </c>
      <c r="K34" t="s">
        <v>59</v>
      </c>
      <c r="L34">
        <v>23</v>
      </c>
    </row>
    <row r="35" spans="1:12" x14ac:dyDescent="0.3">
      <c r="A35" t="s">
        <v>102</v>
      </c>
      <c r="B35" t="s">
        <v>103</v>
      </c>
      <c r="C35">
        <v>76034</v>
      </c>
      <c r="D35">
        <v>12640</v>
      </c>
      <c r="E35">
        <v>7750</v>
      </c>
      <c r="F35">
        <v>0.61313291139240511</v>
      </c>
      <c r="G35" t="s">
        <v>248</v>
      </c>
      <c r="H35">
        <v>2</v>
      </c>
      <c r="I35">
        <v>132</v>
      </c>
      <c r="J35" t="s">
        <v>247</v>
      </c>
      <c r="K35" t="s">
        <v>59</v>
      </c>
      <c r="L35">
        <v>29</v>
      </c>
    </row>
    <row r="36" spans="1:12" x14ac:dyDescent="0.3">
      <c r="A36" t="s">
        <v>102</v>
      </c>
      <c r="B36" t="s">
        <v>104</v>
      </c>
      <c r="C36">
        <v>4734</v>
      </c>
      <c r="D36">
        <v>19045</v>
      </c>
      <c r="E36">
        <v>12545</v>
      </c>
      <c r="F36">
        <v>0.65870307167235498</v>
      </c>
      <c r="G36" t="s">
        <v>248</v>
      </c>
      <c r="H36">
        <v>2.5</v>
      </c>
      <c r="I36">
        <v>163</v>
      </c>
      <c r="J36" t="s">
        <v>247</v>
      </c>
      <c r="K36" t="s">
        <v>59</v>
      </c>
      <c r="L36">
        <v>24</v>
      </c>
    </row>
    <row r="37" spans="1:12" x14ac:dyDescent="0.3">
      <c r="A37" t="s">
        <v>102</v>
      </c>
      <c r="B37" t="s">
        <v>105</v>
      </c>
      <c r="C37">
        <v>71186</v>
      </c>
      <c r="D37">
        <v>20230</v>
      </c>
      <c r="E37">
        <v>10185</v>
      </c>
      <c r="F37">
        <v>0.5034602076124568</v>
      </c>
      <c r="G37" t="s">
        <v>248</v>
      </c>
      <c r="H37">
        <v>2.5</v>
      </c>
      <c r="I37">
        <v>168</v>
      </c>
      <c r="J37" t="s">
        <v>247</v>
      </c>
      <c r="K37" t="s">
        <v>59</v>
      </c>
      <c r="L37">
        <v>24</v>
      </c>
    </row>
    <row r="38" spans="1:12" x14ac:dyDescent="0.3">
      <c r="A38" t="s">
        <v>102</v>
      </c>
      <c r="B38" t="s">
        <v>106</v>
      </c>
      <c r="C38">
        <v>88028</v>
      </c>
      <c r="D38">
        <v>22505</v>
      </c>
      <c r="E38">
        <v>12275</v>
      </c>
      <c r="F38">
        <v>0.54543434792268386</v>
      </c>
      <c r="G38" t="s">
        <v>248</v>
      </c>
      <c r="H38">
        <v>2.7</v>
      </c>
      <c r="I38">
        <v>202</v>
      </c>
      <c r="J38" t="s">
        <v>247</v>
      </c>
      <c r="K38" t="s">
        <v>59</v>
      </c>
      <c r="L38">
        <v>22</v>
      </c>
    </row>
    <row r="39" spans="1:12" x14ac:dyDescent="0.3">
      <c r="A39" t="s">
        <v>102</v>
      </c>
      <c r="B39" t="s">
        <v>107</v>
      </c>
      <c r="C39">
        <v>916</v>
      </c>
      <c r="D39">
        <v>69725</v>
      </c>
      <c r="E39">
        <v>58470</v>
      </c>
      <c r="F39">
        <v>0.83858013624955186</v>
      </c>
      <c r="G39" t="s">
        <v>246</v>
      </c>
      <c r="H39">
        <v>8</v>
      </c>
      <c r="I39">
        <v>450</v>
      </c>
      <c r="J39" t="s">
        <v>249</v>
      </c>
      <c r="K39" t="s">
        <v>59</v>
      </c>
      <c r="L39">
        <v>16</v>
      </c>
    </row>
    <row r="40" spans="1:12" x14ac:dyDescent="0.3">
      <c r="A40" t="s">
        <v>102</v>
      </c>
      <c r="B40" t="s">
        <v>108</v>
      </c>
      <c r="C40">
        <v>227061</v>
      </c>
      <c r="D40">
        <v>19460</v>
      </c>
      <c r="E40">
        <v>15060</v>
      </c>
      <c r="F40">
        <v>0.77389516957862281</v>
      </c>
      <c r="G40" t="s">
        <v>246</v>
      </c>
      <c r="H40">
        <v>5.2</v>
      </c>
      <c r="I40">
        <v>230</v>
      </c>
      <c r="J40" t="s">
        <v>247</v>
      </c>
      <c r="K40" t="s">
        <v>81</v>
      </c>
      <c r="L40">
        <v>17</v>
      </c>
    </row>
    <row r="41" spans="1:12" x14ac:dyDescent="0.3">
      <c r="A41" t="s">
        <v>102</v>
      </c>
      <c r="B41" t="s">
        <v>109</v>
      </c>
      <c r="C41">
        <v>16767</v>
      </c>
      <c r="D41">
        <v>21315</v>
      </c>
      <c r="E41">
        <v>15510</v>
      </c>
      <c r="F41">
        <v>0.72765657987332866</v>
      </c>
      <c r="G41" t="s">
        <v>246</v>
      </c>
      <c r="H41">
        <v>3.9</v>
      </c>
      <c r="I41">
        <v>175</v>
      </c>
      <c r="J41" t="s">
        <v>247</v>
      </c>
      <c r="K41" t="s">
        <v>81</v>
      </c>
      <c r="L41">
        <v>15</v>
      </c>
    </row>
    <row r="42" spans="1:12" x14ac:dyDescent="0.3">
      <c r="A42" t="s">
        <v>102</v>
      </c>
      <c r="B42" t="s">
        <v>110</v>
      </c>
      <c r="C42">
        <v>31038</v>
      </c>
      <c r="D42">
        <v>18575</v>
      </c>
      <c r="E42">
        <v>13425</v>
      </c>
      <c r="F42">
        <v>0.7227456258411844</v>
      </c>
      <c r="G42" t="s">
        <v>246</v>
      </c>
      <c r="H42">
        <v>3.9</v>
      </c>
      <c r="I42">
        <v>175</v>
      </c>
      <c r="J42" t="s">
        <v>247</v>
      </c>
      <c r="K42" t="s">
        <v>81</v>
      </c>
      <c r="L42">
        <v>16</v>
      </c>
    </row>
    <row r="43" spans="1:12" x14ac:dyDescent="0.3">
      <c r="A43" t="s">
        <v>102</v>
      </c>
      <c r="B43" t="s">
        <v>111</v>
      </c>
      <c r="C43">
        <v>111313</v>
      </c>
      <c r="D43">
        <v>16980</v>
      </c>
      <c r="E43">
        <v>11260</v>
      </c>
      <c r="F43">
        <v>0.66313309776207308</v>
      </c>
      <c r="G43" t="s">
        <v>248</v>
      </c>
      <c r="H43">
        <v>2.5</v>
      </c>
      <c r="I43">
        <v>120</v>
      </c>
      <c r="J43" t="s">
        <v>247</v>
      </c>
      <c r="K43" t="s">
        <v>81</v>
      </c>
      <c r="L43">
        <v>19</v>
      </c>
    </row>
    <row r="44" spans="1:12" x14ac:dyDescent="0.3">
      <c r="A44" t="s">
        <v>102</v>
      </c>
      <c r="B44" t="s">
        <v>112</v>
      </c>
      <c r="C44">
        <v>101323</v>
      </c>
      <c r="D44">
        <v>26310</v>
      </c>
      <c r="E44">
        <v>21436</v>
      </c>
      <c r="F44">
        <v>0.81474724439376667</v>
      </c>
      <c r="G44" t="s">
        <v>246</v>
      </c>
      <c r="H44">
        <v>5.2</v>
      </c>
      <c r="I44">
        <v>230</v>
      </c>
      <c r="J44" t="s">
        <v>247</v>
      </c>
      <c r="K44" t="s">
        <v>81</v>
      </c>
      <c r="L44">
        <v>17</v>
      </c>
    </row>
    <row r="45" spans="1:12" x14ac:dyDescent="0.3">
      <c r="A45" t="s">
        <v>102</v>
      </c>
      <c r="B45" t="s">
        <v>113</v>
      </c>
      <c r="C45">
        <v>181749</v>
      </c>
      <c r="D45">
        <v>19565</v>
      </c>
      <c r="E45">
        <v>12025</v>
      </c>
      <c r="F45">
        <v>0.61461794019933558</v>
      </c>
      <c r="G45" t="s">
        <v>248</v>
      </c>
      <c r="H45">
        <v>2.4</v>
      </c>
      <c r="I45">
        <v>150</v>
      </c>
      <c r="J45" t="s">
        <v>247</v>
      </c>
      <c r="K45" t="s">
        <v>81</v>
      </c>
      <c r="L45">
        <v>24</v>
      </c>
    </row>
    <row r="46" spans="1:12" x14ac:dyDescent="0.3">
      <c r="A46" t="s">
        <v>114</v>
      </c>
      <c r="B46" t="s">
        <v>115</v>
      </c>
      <c r="C46">
        <v>70227</v>
      </c>
      <c r="D46">
        <v>12070</v>
      </c>
      <c r="E46">
        <v>7425</v>
      </c>
      <c r="F46">
        <v>0.61516155758077884</v>
      </c>
      <c r="G46" t="s">
        <v>248</v>
      </c>
      <c r="H46">
        <v>2</v>
      </c>
      <c r="I46">
        <v>110</v>
      </c>
      <c r="J46" t="s">
        <v>247</v>
      </c>
      <c r="K46" t="s">
        <v>59</v>
      </c>
      <c r="L46">
        <v>30</v>
      </c>
    </row>
    <row r="47" spans="1:12" x14ac:dyDescent="0.3">
      <c r="A47" t="s">
        <v>114</v>
      </c>
      <c r="B47" t="s">
        <v>116</v>
      </c>
      <c r="C47">
        <v>113369</v>
      </c>
      <c r="D47">
        <v>21560</v>
      </c>
      <c r="E47">
        <v>12760</v>
      </c>
      <c r="F47">
        <v>0.59183673469387754</v>
      </c>
      <c r="G47" t="s">
        <v>248</v>
      </c>
      <c r="H47">
        <v>3.8</v>
      </c>
      <c r="I47">
        <v>190</v>
      </c>
      <c r="J47" t="s">
        <v>247</v>
      </c>
      <c r="K47" t="s">
        <v>59</v>
      </c>
      <c r="L47">
        <v>24</v>
      </c>
    </row>
    <row r="48" spans="1:12" x14ac:dyDescent="0.3">
      <c r="A48" t="s">
        <v>114</v>
      </c>
      <c r="B48" t="s">
        <v>117</v>
      </c>
      <c r="C48">
        <v>35068</v>
      </c>
      <c r="D48">
        <v>17035</v>
      </c>
      <c r="E48">
        <v>8835</v>
      </c>
      <c r="F48">
        <v>0.5186380980334605</v>
      </c>
      <c r="G48" t="s">
        <v>248</v>
      </c>
      <c r="H48">
        <v>2.5</v>
      </c>
      <c r="I48">
        <v>170</v>
      </c>
      <c r="J48" t="s">
        <v>247</v>
      </c>
      <c r="K48" t="s">
        <v>59</v>
      </c>
      <c r="L48">
        <v>25</v>
      </c>
    </row>
    <row r="49" spans="1:12" x14ac:dyDescent="0.3">
      <c r="A49" t="s">
        <v>114</v>
      </c>
      <c r="B49" t="s">
        <v>118</v>
      </c>
      <c r="C49">
        <v>245815</v>
      </c>
      <c r="D49">
        <v>17885</v>
      </c>
      <c r="E49">
        <v>10055</v>
      </c>
      <c r="F49">
        <v>0.56220296337713171</v>
      </c>
      <c r="G49" t="s">
        <v>248</v>
      </c>
      <c r="H49">
        <v>3</v>
      </c>
      <c r="I49">
        <v>155</v>
      </c>
      <c r="J49" t="s">
        <v>247</v>
      </c>
      <c r="K49" t="s">
        <v>59</v>
      </c>
      <c r="L49">
        <v>24</v>
      </c>
    </row>
    <row r="50" spans="1:12" x14ac:dyDescent="0.3">
      <c r="A50" t="s">
        <v>114</v>
      </c>
      <c r="B50" t="s">
        <v>119</v>
      </c>
      <c r="C50">
        <v>175670</v>
      </c>
      <c r="D50">
        <v>12315</v>
      </c>
      <c r="E50">
        <v>8670</v>
      </c>
      <c r="F50">
        <v>0.7040194884287454</v>
      </c>
      <c r="G50" t="s">
        <v>246</v>
      </c>
      <c r="H50">
        <v>2</v>
      </c>
      <c r="I50">
        <v>107</v>
      </c>
      <c r="J50" t="s">
        <v>247</v>
      </c>
      <c r="K50" t="s">
        <v>59</v>
      </c>
      <c r="L50">
        <v>30</v>
      </c>
    </row>
    <row r="51" spans="1:12" x14ac:dyDescent="0.3">
      <c r="A51" t="s">
        <v>114</v>
      </c>
      <c r="B51" t="s">
        <v>120</v>
      </c>
      <c r="C51">
        <v>63403</v>
      </c>
      <c r="D51">
        <v>22195</v>
      </c>
      <c r="E51">
        <v>14210</v>
      </c>
      <c r="F51">
        <v>0.64023428700157692</v>
      </c>
      <c r="G51" t="s">
        <v>248</v>
      </c>
      <c r="H51">
        <v>4.5999999999999996</v>
      </c>
      <c r="I51">
        <v>200</v>
      </c>
      <c r="J51" t="s">
        <v>247</v>
      </c>
      <c r="K51" t="s">
        <v>59</v>
      </c>
      <c r="L51">
        <v>21</v>
      </c>
    </row>
    <row r="52" spans="1:12" x14ac:dyDescent="0.3">
      <c r="A52" t="s">
        <v>114</v>
      </c>
      <c r="B52" t="s">
        <v>121</v>
      </c>
      <c r="C52">
        <v>276747</v>
      </c>
      <c r="D52">
        <v>31930</v>
      </c>
      <c r="E52">
        <v>16640</v>
      </c>
      <c r="F52">
        <v>0.52113999373629816</v>
      </c>
      <c r="G52" t="s">
        <v>248</v>
      </c>
      <c r="H52">
        <v>4</v>
      </c>
      <c r="I52">
        <v>210</v>
      </c>
      <c r="J52" t="s">
        <v>247</v>
      </c>
      <c r="K52" t="s">
        <v>81</v>
      </c>
      <c r="L52">
        <v>19</v>
      </c>
    </row>
    <row r="53" spans="1:12" x14ac:dyDescent="0.3">
      <c r="A53" t="s">
        <v>114</v>
      </c>
      <c r="B53" t="s">
        <v>122</v>
      </c>
      <c r="C53">
        <v>155787</v>
      </c>
      <c r="D53">
        <v>21410</v>
      </c>
      <c r="E53">
        <v>13175</v>
      </c>
      <c r="F53">
        <v>0.6153666510976179</v>
      </c>
      <c r="G53" t="s">
        <v>248</v>
      </c>
      <c r="H53">
        <v>3</v>
      </c>
      <c r="I53">
        <v>150</v>
      </c>
      <c r="J53" t="s">
        <v>247</v>
      </c>
      <c r="K53" t="s">
        <v>81</v>
      </c>
      <c r="L53">
        <v>21</v>
      </c>
    </row>
    <row r="54" spans="1:12" x14ac:dyDescent="0.3">
      <c r="A54" t="s">
        <v>114</v>
      </c>
      <c r="B54" t="s">
        <v>123</v>
      </c>
      <c r="C54">
        <v>125338</v>
      </c>
      <c r="D54">
        <v>36135</v>
      </c>
      <c r="E54">
        <v>23575</v>
      </c>
      <c r="F54">
        <v>0.65241455652414559</v>
      </c>
      <c r="G54" t="s">
        <v>248</v>
      </c>
      <c r="H54">
        <v>4.5999999999999996</v>
      </c>
      <c r="I54">
        <v>240</v>
      </c>
      <c r="J54" t="s">
        <v>247</v>
      </c>
      <c r="K54" t="s">
        <v>81</v>
      </c>
      <c r="L54">
        <v>16</v>
      </c>
    </row>
    <row r="55" spans="1:12" x14ac:dyDescent="0.3">
      <c r="A55" t="s">
        <v>114</v>
      </c>
      <c r="B55" t="s">
        <v>124</v>
      </c>
      <c r="C55">
        <v>220650</v>
      </c>
      <c r="D55">
        <v>12050</v>
      </c>
      <c r="E55">
        <v>7850</v>
      </c>
      <c r="F55">
        <v>0.65145228215767637</v>
      </c>
      <c r="G55" t="s">
        <v>248</v>
      </c>
      <c r="H55">
        <v>2.5</v>
      </c>
      <c r="I55">
        <v>119</v>
      </c>
      <c r="J55" t="s">
        <v>247</v>
      </c>
      <c r="K55" t="s">
        <v>81</v>
      </c>
      <c r="L55">
        <v>23</v>
      </c>
    </row>
    <row r="56" spans="1:12" x14ac:dyDescent="0.3">
      <c r="A56" t="s">
        <v>114</v>
      </c>
      <c r="B56" t="s">
        <v>125</v>
      </c>
      <c r="C56">
        <v>540561</v>
      </c>
      <c r="D56">
        <v>26935</v>
      </c>
      <c r="E56">
        <v>15075</v>
      </c>
      <c r="F56">
        <v>0.55968071282717657</v>
      </c>
      <c r="G56" t="s">
        <v>248</v>
      </c>
      <c r="H56">
        <v>4.5999999999999996</v>
      </c>
      <c r="I56">
        <v>220</v>
      </c>
      <c r="J56" t="s">
        <v>247</v>
      </c>
      <c r="K56" t="s">
        <v>81</v>
      </c>
      <c r="L56">
        <v>18</v>
      </c>
    </row>
    <row r="57" spans="1:12" x14ac:dyDescent="0.3">
      <c r="A57" t="s">
        <v>126</v>
      </c>
      <c r="B57" t="s">
        <v>127</v>
      </c>
      <c r="C57">
        <v>199685</v>
      </c>
      <c r="D57">
        <v>12885</v>
      </c>
      <c r="E57">
        <v>9850</v>
      </c>
      <c r="F57">
        <v>0.76445479239425684</v>
      </c>
      <c r="G57" t="s">
        <v>246</v>
      </c>
      <c r="H57">
        <v>1.6</v>
      </c>
      <c r="I57">
        <v>106</v>
      </c>
      <c r="J57" t="s">
        <v>247</v>
      </c>
      <c r="K57" t="s">
        <v>59</v>
      </c>
      <c r="L57">
        <v>32</v>
      </c>
    </row>
    <row r="58" spans="1:12" x14ac:dyDescent="0.3">
      <c r="A58" t="s">
        <v>126</v>
      </c>
      <c r="B58" t="s">
        <v>128</v>
      </c>
      <c r="C58">
        <v>230902</v>
      </c>
      <c r="D58">
        <v>15350</v>
      </c>
      <c r="E58">
        <v>13210</v>
      </c>
      <c r="F58">
        <v>0.86058631921824102</v>
      </c>
      <c r="G58" t="s">
        <v>246</v>
      </c>
      <c r="H58">
        <v>2.2999999999999998</v>
      </c>
      <c r="I58">
        <v>135</v>
      </c>
      <c r="J58" t="s">
        <v>247</v>
      </c>
      <c r="K58" t="s">
        <v>59</v>
      </c>
      <c r="L58">
        <v>27</v>
      </c>
    </row>
    <row r="59" spans="1:12" x14ac:dyDescent="0.3">
      <c r="A59" t="s">
        <v>126</v>
      </c>
      <c r="B59" t="s">
        <v>129</v>
      </c>
      <c r="C59">
        <v>73203</v>
      </c>
      <c r="D59">
        <v>20550</v>
      </c>
      <c r="E59">
        <v>17710</v>
      </c>
      <c r="F59">
        <v>0.8618004866180049</v>
      </c>
      <c r="G59" t="s">
        <v>246</v>
      </c>
      <c r="H59">
        <v>2</v>
      </c>
      <c r="I59">
        <v>146</v>
      </c>
      <c r="J59" t="s">
        <v>247</v>
      </c>
      <c r="K59" t="s">
        <v>81</v>
      </c>
      <c r="L59">
        <v>24</v>
      </c>
    </row>
    <row r="60" spans="1:12" x14ac:dyDescent="0.3">
      <c r="A60" t="s">
        <v>126</v>
      </c>
      <c r="B60" t="s">
        <v>130</v>
      </c>
      <c r="C60">
        <v>12855</v>
      </c>
      <c r="D60">
        <v>26600</v>
      </c>
      <c r="E60">
        <v>17525</v>
      </c>
      <c r="F60">
        <v>0.65883458646616544</v>
      </c>
      <c r="G60" t="s">
        <v>248</v>
      </c>
      <c r="H60">
        <v>3.2</v>
      </c>
      <c r="I60">
        <v>205</v>
      </c>
      <c r="J60" t="s">
        <v>247</v>
      </c>
      <c r="K60" t="s">
        <v>81</v>
      </c>
      <c r="L60">
        <v>19</v>
      </c>
    </row>
    <row r="61" spans="1:12" x14ac:dyDescent="0.3">
      <c r="A61" t="s">
        <v>126</v>
      </c>
      <c r="B61" t="s">
        <v>131</v>
      </c>
      <c r="C61">
        <v>76029</v>
      </c>
      <c r="D61">
        <v>26000</v>
      </c>
      <c r="E61">
        <v>19490</v>
      </c>
      <c r="F61">
        <v>0.74961538461538457</v>
      </c>
      <c r="G61" t="s">
        <v>246</v>
      </c>
      <c r="H61">
        <v>3.5</v>
      </c>
      <c r="I61">
        <v>210</v>
      </c>
      <c r="J61" t="s">
        <v>247</v>
      </c>
      <c r="K61" t="s">
        <v>81</v>
      </c>
      <c r="L61">
        <v>23</v>
      </c>
    </row>
    <row r="62" spans="1:12" x14ac:dyDescent="0.3">
      <c r="A62" t="s">
        <v>132</v>
      </c>
      <c r="B62" t="s">
        <v>133</v>
      </c>
      <c r="C62">
        <v>41184</v>
      </c>
      <c r="D62">
        <v>9699</v>
      </c>
      <c r="E62">
        <v>5860</v>
      </c>
      <c r="F62">
        <v>0.6041859985565522</v>
      </c>
      <c r="G62" t="s">
        <v>248</v>
      </c>
      <c r="H62">
        <v>1.5</v>
      </c>
      <c r="I62">
        <v>92</v>
      </c>
      <c r="J62" t="s">
        <v>250</v>
      </c>
      <c r="K62" t="s">
        <v>59</v>
      </c>
      <c r="L62">
        <v>31</v>
      </c>
    </row>
    <row r="63" spans="1:12" x14ac:dyDescent="0.3">
      <c r="A63" t="s">
        <v>132</v>
      </c>
      <c r="B63" t="s">
        <v>134</v>
      </c>
      <c r="C63">
        <v>66692</v>
      </c>
      <c r="D63">
        <v>11799</v>
      </c>
      <c r="E63">
        <v>7825</v>
      </c>
      <c r="F63">
        <v>0.66319179591490807</v>
      </c>
      <c r="G63" t="s">
        <v>248</v>
      </c>
      <c r="H63">
        <v>2</v>
      </c>
      <c r="I63">
        <v>140</v>
      </c>
      <c r="J63" t="s">
        <v>247</v>
      </c>
      <c r="K63" t="s">
        <v>59</v>
      </c>
      <c r="L63">
        <v>27</v>
      </c>
    </row>
    <row r="64" spans="1:12" x14ac:dyDescent="0.3">
      <c r="A64" t="s">
        <v>132</v>
      </c>
      <c r="B64" t="s">
        <v>135</v>
      </c>
      <c r="C64">
        <v>29450</v>
      </c>
      <c r="D64">
        <v>14999</v>
      </c>
      <c r="E64">
        <v>8910</v>
      </c>
      <c r="F64">
        <v>0.59403960264017597</v>
      </c>
      <c r="G64" t="s">
        <v>248</v>
      </c>
      <c r="H64">
        <v>2.4</v>
      </c>
      <c r="I64">
        <v>148</v>
      </c>
      <c r="J64" t="s">
        <v>247</v>
      </c>
      <c r="K64" t="s">
        <v>59</v>
      </c>
      <c r="L64">
        <v>25</v>
      </c>
    </row>
    <row r="65" spans="1:12" x14ac:dyDescent="0.3">
      <c r="A65" t="s">
        <v>136</v>
      </c>
      <c r="B65" t="s">
        <v>137</v>
      </c>
      <c r="C65">
        <v>23713</v>
      </c>
      <c r="D65">
        <v>29465</v>
      </c>
      <c r="E65">
        <v>19690</v>
      </c>
      <c r="F65">
        <v>0.66825046665535381</v>
      </c>
      <c r="G65" t="s">
        <v>248</v>
      </c>
      <c r="H65">
        <v>3</v>
      </c>
      <c r="I65">
        <v>227</v>
      </c>
      <c r="J65" t="s">
        <v>247</v>
      </c>
      <c r="K65" t="s">
        <v>59</v>
      </c>
      <c r="L65">
        <v>25</v>
      </c>
    </row>
    <row r="66" spans="1:12" x14ac:dyDescent="0.3">
      <c r="A66" t="s">
        <v>138</v>
      </c>
      <c r="B66" t="s">
        <v>139</v>
      </c>
      <c r="C66">
        <v>15467</v>
      </c>
      <c r="D66">
        <v>42800</v>
      </c>
      <c r="E66">
        <v>33219</v>
      </c>
      <c r="F66">
        <v>0.77614485981308412</v>
      </c>
      <c r="G66" t="s">
        <v>246</v>
      </c>
      <c r="H66">
        <v>3</v>
      </c>
      <c r="I66">
        <v>240</v>
      </c>
      <c r="J66" t="s">
        <v>247</v>
      </c>
      <c r="K66" t="s">
        <v>59</v>
      </c>
      <c r="L66">
        <v>21</v>
      </c>
    </row>
    <row r="67" spans="1:12" x14ac:dyDescent="0.3">
      <c r="A67" t="s">
        <v>140</v>
      </c>
      <c r="B67" t="s">
        <v>141</v>
      </c>
      <c r="C67">
        <v>55557</v>
      </c>
      <c r="D67">
        <v>14460</v>
      </c>
      <c r="E67">
        <v>13475</v>
      </c>
      <c r="F67">
        <v>0.931881051175657</v>
      </c>
      <c r="G67" t="s">
        <v>246</v>
      </c>
      <c r="H67">
        <v>2.5</v>
      </c>
      <c r="I67">
        <v>120</v>
      </c>
      <c r="J67" t="s">
        <v>247</v>
      </c>
      <c r="K67" t="s">
        <v>81</v>
      </c>
      <c r="L67">
        <v>17</v>
      </c>
    </row>
    <row r="68" spans="1:12" x14ac:dyDescent="0.3">
      <c r="A68" t="s">
        <v>140</v>
      </c>
      <c r="B68" t="s">
        <v>142</v>
      </c>
      <c r="C68">
        <v>80556</v>
      </c>
      <c r="D68">
        <v>21620</v>
      </c>
      <c r="E68">
        <v>13775</v>
      </c>
      <c r="F68">
        <v>0.63714153561517117</v>
      </c>
      <c r="G68" t="s">
        <v>248</v>
      </c>
      <c r="H68">
        <v>4</v>
      </c>
      <c r="I68">
        <v>190</v>
      </c>
      <c r="J68" t="s">
        <v>247</v>
      </c>
      <c r="K68" t="s">
        <v>81</v>
      </c>
      <c r="L68">
        <v>20</v>
      </c>
    </row>
    <row r="69" spans="1:12" x14ac:dyDescent="0.3">
      <c r="A69" t="s">
        <v>140</v>
      </c>
      <c r="B69" t="s">
        <v>143</v>
      </c>
      <c r="C69">
        <v>157040</v>
      </c>
      <c r="D69">
        <v>26895</v>
      </c>
      <c r="E69">
        <v>18810</v>
      </c>
      <c r="F69">
        <v>0.69938650306748462</v>
      </c>
      <c r="G69" t="s">
        <v>246</v>
      </c>
      <c r="H69">
        <v>4</v>
      </c>
      <c r="I69">
        <v>195</v>
      </c>
      <c r="J69" t="s">
        <v>247</v>
      </c>
      <c r="K69" t="s">
        <v>81</v>
      </c>
      <c r="L69">
        <v>19</v>
      </c>
    </row>
    <row r="70" spans="1:12" x14ac:dyDescent="0.3">
      <c r="A70" t="s">
        <v>144</v>
      </c>
      <c r="B70" t="s">
        <v>145</v>
      </c>
      <c r="C70">
        <v>24072</v>
      </c>
      <c r="D70">
        <v>31505</v>
      </c>
      <c r="E70">
        <v>26975</v>
      </c>
      <c r="F70">
        <v>0.85621329947627356</v>
      </c>
      <c r="G70" t="s">
        <v>246</v>
      </c>
      <c r="H70">
        <v>3</v>
      </c>
      <c r="I70">
        <v>210</v>
      </c>
      <c r="J70" t="s">
        <v>247</v>
      </c>
      <c r="K70" t="s">
        <v>59</v>
      </c>
      <c r="L70">
        <v>23</v>
      </c>
    </row>
    <row r="71" spans="1:12" x14ac:dyDescent="0.3">
      <c r="A71" t="s">
        <v>144</v>
      </c>
      <c r="B71" t="s">
        <v>146</v>
      </c>
      <c r="C71">
        <v>12698</v>
      </c>
      <c r="D71">
        <v>37805</v>
      </c>
      <c r="E71">
        <v>32075.000000000004</v>
      </c>
      <c r="F71">
        <v>0.8484327469911388</v>
      </c>
      <c r="G71" t="s">
        <v>246</v>
      </c>
      <c r="H71">
        <v>3</v>
      </c>
      <c r="I71">
        <v>225</v>
      </c>
      <c r="J71" t="s">
        <v>247</v>
      </c>
      <c r="K71" t="s">
        <v>59</v>
      </c>
      <c r="L71">
        <v>23</v>
      </c>
    </row>
    <row r="72" spans="1:12" x14ac:dyDescent="0.3">
      <c r="A72" t="s">
        <v>144</v>
      </c>
      <c r="B72" t="s">
        <v>147</v>
      </c>
      <c r="C72">
        <v>3334</v>
      </c>
      <c r="D72">
        <v>46305</v>
      </c>
      <c r="E72">
        <v>38955</v>
      </c>
      <c r="F72">
        <v>0.84126984126984128</v>
      </c>
      <c r="G72" t="s">
        <v>246</v>
      </c>
      <c r="H72">
        <v>4</v>
      </c>
      <c r="I72">
        <v>300</v>
      </c>
      <c r="J72" t="s">
        <v>249</v>
      </c>
      <c r="K72" t="s">
        <v>59</v>
      </c>
      <c r="L72">
        <v>21</v>
      </c>
    </row>
    <row r="73" spans="1:12" x14ac:dyDescent="0.3">
      <c r="A73" t="s">
        <v>144</v>
      </c>
      <c r="B73" t="s">
        <v>148</v>
      </c>
      <c r="C73">
        <v>6375</v>
      </c>
      <c r="D73">
        <v>54005</v>
      </c>
      <c r="E73">
        <v>40375</v>
      </c>
      <c r="F73">
        <v>0.74761596148504772</v>
      </c>
      <c r="G73" t="s">
        <v>246</v>
      </c>
      <c r="H73">
        <v>4</v>
      </c>
      <c r="I73">
        <v>290</v>
      </c>
      <c r="J73" t="s">
        <v>247</v>
      </c>
      <c r="K73" t="s">
        <v>59</v>
      </c>
      <c r="L73">
        <v>22</v>
      </c>
    </row>
    <row r="74" spans="1:12" x14ac:dyDescent="0.3">
      <c r="A74" t="s">
        <v>144</v>
      </c>
      <c r="B74" t="s">
        <v>149</v>
      </c>
      <c r="C74">
        <v>9126</v>
      </c>
      <c r="D74">
        <v>60105</v>
      </c>
      <c r="E74">
        <v>43870</v>
      </c>
      <c r="F74">
        <v>0.72988936028616591</v>
      </c>
      <c r="G74" t="s">
        <v>246</v>
      </c>
      <c r="H74">
        <v>4.7</v>
      </c>
      <c r="I74">
        <v>230</v>
      </c>
      <c r="J74" t="s">
        <v>247</v>
      </c>
      <c r="K74" t="s">
        <v>81</v>
      </c>
      <c r="L74">
        <v>15</v>
      </c>
    </row>
    <row r="75" spans="1:12" x14ac:dyDescent="0.3">
      <c r="A75" t="s">
        <v>144</v>
      </c>
      <c r="B75" t="s">
        <v>150</v>
      </c>
      <c r="C75">
        <v>51238</v>
      </c>
      <c r="D75">
        <v>34605</v>
      </c>
      <c r="E75">
        <v>29140</v>
      </c>
      <c r="F75">
        <v>0.84207484467562488</v>
      </c>
      <c r="G75" t="s">
        <v>246</v>
      </c>
      <c r="H75">
        <v>3</v>
      </c>
      <c r="I75">
        <v>220</v>
      </c>
      <c r="J75" t="s">
        <v>247</v>
      </c>
      <c r="K75" t="s">
        <v>81</v>
      </c>
      <c r="L75">
        <v>21</v>
      </c>
    </row>
    <row r="76" spans="1:12" x14ac:dyDescent="0.3">
      <c r="A76" t="s">
        <v>151</v>
      </c>
      <c r="B76" t="s">
        <v>152</v>
      </c>
      <c r="C76">
        <v>13798</v>
      </c>
      <c r="D76">
        <v>39080</v>
      </c>
      <c r="E76">
        <v>20525</v>
      </c>
      <c r="F76">
        <v>0.52520470829068577</v>
      </c>
      <c r="G76" t="s">
        <v>248</v>
      </c>
      <c r="H76">
        <v>4.5999999999999996</v>
      </c>
      <c r="I76">
        <v>275</v>
      </c>
      <c r="J76" t="s">
        <v>247</v>
      </c>
      <c r="K76" t="s">
        <v>59</v>
      </c>
      <c r="L76">
        <v>22</v>
      </c>
    </row>
    <row r="77" spans="1:12" x14ac:dyDescent="0.3">
      <c r="A77" t="s">
        <v>151</v>
      </c>
      <c r="B77" t="s">
        <v>153</v>
      </c>
      <c r="C77">
        <v>48911</v>
      </c>
      <c r="D77">
        <v>43330</v>
      </c>
      <c r="E77">
        <v>21725</v>
      </c>
      <c r="F77">
        <v>0.5013847219016847</v>
      </c>
      <c r="G77" t="s">
        <v>248</v>
      </c>
      <c r="H77">
        <v>4.5999999999999996</v>
      </c>
      <c r="I77">
        <v>215</v>
      </c>
      <c r="J77" t="s">
        <v>247</v>
      </c>
      <c r="K77" t="s">
        <v>59</v>
      </c>
      <c r="L77">
        <v>21</v>
      </c>
    </row>
    <row r="78" spans="1:12" x14ac:dyDescent="0.3">
      <c r="A78" t="s">
        <v>151</v>
      </c>
      <c r="B78" t="s">
        <v>154</v>
      </c>
      <c r="C78">
        <v>22925</v>
      </c>
      <c r="D78">
        <v>42660</v>
      </c>
      <c r="E78">
        <v>20765</v>
      </c>
      <c r="F78">
        <v>0.48675574308485703</v>
      </c>
      <c r="G78" t="s">
        <v>248</v>
      </c>
      <c r="H78">
        <v>5.4</v>
      </c>
      <c r="I78">
        <v>300</v>
      </c>
      <c r="J78" t="s">
        <v>249</v>
      </c>
      <c r="K78" t="s">
        <v>81</v>
      </c>
      <c r="L78">
        <v>15</v>
      </c>
    </row>
    <row r="79" spans="1:12" x14ac:dyDescent="0.3">
      <c r="A79" t="s">
        <v>155</v>
      </c>
      <c r="B79" t="s">
        <v>156</v>
      </c>
      <c r="C79">
        <v>26232</v>
      </c>
      <c r="D79">
        <v>13987</v>
      </c>
      <c r="E79">
        <v>8325</v>
      </c>
      <c r="F79">
        <v>0.59519553871452058</v>
      </c>
      <c r="G79" t="s">
        <v>248</v>
      </c>
      <c r="H79">
        <v>1.8</v>
      </c>
      <c r="I79">
        <v>113</v>
      </c>
      <c r="J79" t="s">
        <v>247</v>
      </c>
      <c r="K79" t="s">
        <v>59</v>
      </c>
      <c r="L79">
        <v>30</v>
      </c>
    </row>
    <row r="80" spans="1:12" x14ac:dyDescent="0.3">
      <c r="A80" t="s">
        <v>155</v>
      </c>
      <c r="B80" t="s">
        <v>157</v>
      </c>
      <c r="C80">
        <v>42541</v>
      </c>
      <c r="D80">
        <v>19047</v>
      </c>
      <c r="E80">
        <v>10395</v>
      </c>
      <c r="F80">
        <v>0.54575523704520401</v>
      </c>
      <c r="G80" t="s">
        <v>248</v>
      </c>
      <c r="H80">
        <v>2.4</v>
      </c>
      <c r="I80">
        <v>154</v>
      </c>
      <c r="J80" t="s">
        <v>247</v>
      </c>
      <c r="K80" t="s">
        <v>59</v>
      </c>
      <c r="L80">
        <v>24</v>
      </c>
    </row>
    <row r="81" spans="1:12" x14ac:dyDescent="0.3">
      <c r="A81" t="s">
        <v>155</v>
      </c>
      <c r="B81" t="s">
        <v>158</v>
      </c>
      <c r="C81">
        <v>55616</v>
      </c>
      <c r="D81">
        <v>17357</v>
      </c>
      <c r="E81">
        <v>10595</v>
      </c>
      <c r="F81">
        <v>0.61041654663824396</v>
      </c>
      <c r="G81" t="s">
        <v>248</v>
      </c>
      <c r="H81">
        <v>2.4</v>
      </c>
      <c r="I81">
        <v>145</v>
      </c>
      <c r="J81" t="s">
        <v>247</v>
      </c>
      <c r="K81" t="s">
        <v>59</v>
      </c>
      <c r="L81">
        <v>25</v>
      </c>
    </row>
    <row r="82" spans="1:12" x14ac:dyDescent="0.3">
      <c r="A82" t="s">
        <v>155</v>
      </c>
      <c r="B82" t="s">
        <v>159</v>
      </c>
      <c r="C82">
        <v>5711</v>
      </c>
      <c r="D82">
        <v>24997</v>
      </c>
      <c r="E82">
        <v>16575</v>
      </c>
      <c r="F82">
        <v>0.66307956954834579</v>
      </c>
      <c r="G82" t="s">
        <v>248</v>
      </c>
      <c r="H82">
        <v>3.5</v>
      </c>
      <c r="I82">
        <v>210</v>
      </c>
      <c r="J82" t="s">
        <v>247</v>
      </c>
      <c r="K82" t="s">
        <v>59</v>
      </c>
      <c r="L82">
        <v>22</v>
      </c>
    </row>
    <row r="83" spans="1:12" x14ac:dyDescent="0.3">
      <c r="A83" t="s">
        <v>155</v>
      </c>
      <c r="B83" t="s">
        <v>160</v>
      </c>
      <c r="C83">
        <v>110</v>
      </c>
      <c r="D83">
        <v>25450</v>
      </c>
      <c r="E83">
        <v>20940</v>
      </c>
      <c r="F83">
        <v>0.82278978388998036</v>
      </c>
      <c r="G83" t="s">
        <v>246</v>
      </c>
      <c r="H83">
        <v>3</v>
      </c>
      <c r="I83">
        <v>161</v>
      </c>
      <c r="J83" t="s">
        <v>247</v>
      </c>
      <c r="K83" t="s">
        <v>59</v>
      </c>
      <c r="L83">
        <v>21</v>
      </c>
    </row>
    <row r="84" spans="1:12" x14ac:dyDescent="0.3">
      <c r="A84" t="s">
        <v>155</v>
      </c>
      <c r="B84" t="s">
        <v>161</v>
      </c>
      <c r="C84">
        <v>11337</v>
      </c>
      <c r="D84">
        <v>31807</v>
      </c>
      <c r="E84">
        <v>19125</v>
      </c>
      <c r="F84">
        <v>0.601282736504543</v>
      </c>
      <c r="G84" t="s">
        <v>248</v>
      </c>
      <c r="H84">
        <v>3.5</v>
      </c>
      <c r="I84">
        <v>200</v>
      </c>
      <c r="J84" t="s">
        <v>247</v>
      </c>
      <c r="K84" t="s">
        <v>81</v>
      </c>
      <c r="L84">
        <v>18</v>
      </c>
    </row>
    <row r="85" spans="1:12" x14ac:dyDescent="0.3">
      <c r="A85" t="s">
        <v>155</v>
      </c>
      <c r="B85" t="s">
        <v>162</v>
      </c>
      <c r="C85">
        <v>39348</v>
      </c>
      <c r="D85">
        <v>22527</v>
      </c>
      <c r="E85">
        <v>13880</v>
      </c>
      <c r="F85">
        <v>0.6161495094775159</v>
      </c>
      <c r="G85" t="s">
        <v>248</v>
      </c>
      <c r="H85">
        <v>3</v>
      </c>
      <c r="I85">
        <v>173</v>
      </c>
      <c r="J85" t="s">
        <v>247</v>
      </c>
      <c r="K85" t="s">
        <v>81</v>
      </c>
      <c r="L85">
        <v>20</v>
      </c>
    </row>
    <row r="86" spans="1:12" x14ac:dyDescent="0.3">
      <c r="A86" t="s">
        <v>163</v>
      </c>
      <c r="B86" t="s">
        <v>164</v>
      </c>
      <c r="C86">
        <v>14351</v>
      </c>
      <c r="D86">
        <v>16239.999999999998</v>
      </c>
      <c r="E86">
        <v>8800</v>
      </c>
      <c r="F86">
        <v>0.54187192118226613</v>
      </c>
      <c r="G86" t="s">
        <v>248</v>
      </c>
      <c r="H86">
        <v>2</v>
      </c>
      <c r="I86">
        <v>125</v>
      </c>
      <c r="J86" t="s">
        <v>247</v>
      </c>
      <c r="K86" t="s">
        <v>59</v>
      </c>
      <c r="L86">
        <v>28</v>
      </c>
    </row>
    <row r="87" spans="1:12" x14ac:dyDescent="0.3">
      <c r="A87" t="s">
        <v>163</v>
      </c>
      <c r="B87" t="s">
        <v>165</v>
      </c>
      <c r="C87">
        <v>26529</v>
      </c>
      <c r="D87">
        <v>16540</v>
      </c>
      <c r="E87">
        <v>13890</v>
      </c>
      <c r="F87">
        <v>0.83978234582829503</v>
      </c>
      <c r="G87" t="s">
        <v>246</v>
      </c>
      <c r="H87">
        <v>2</v>
      </c>
      <c r="I87">
        <v>125</v>
      </c>
      <c r="J87" t="s">
        <v>247</v>
      </c>
      <c r="K87" t="s">
        <v>59</v>
      </c>
      <c r="L87">
        <v>30</v>
      </c>
    </row>
    <row r="88" spans="1:12" x14ac:dyDescent="0.3">
      <c r="A88" t="s">
        <v>163</v>
      </c>
      <c r="B88" t="s">
        <v>166</v>
      </c>
      <c r="C88">
        <v>67956</v>
      </c>
      <c r="D88">
        <v>19035</v>
      </c>
      <c r="E88">
        <v>11030</v>
      </c>
      <c r="F88">
        <v>0.57945889151562913</v>
      </c>
      <c r="G88" t="s">
        <v>248</v>
      </c>
      <c r="H88">
        <v>3</v>
      </c>
      <c r="I88">
        <v>153</v>
      </c>
      <c r="J88" t="s">
        <v>247</v>
      </c>
      <c r="K88" t="s">
        <v>59</v>
      </c>
      <c r="L88">
        <v>24</v>
      </c>
    </row>
    <row r="89" spans="1:12" x14ac:dyDescent="0.3">
      <c r="A89" t="s">
        <v>163</v>
      </c>
      <c r="B89" t="s">
        <v>167</v>
      </c>
      <c r="C89">
        <v>81174</v>
      </c>
      <c r="D89">
        <v>22605</v>
      </c>
      <c r="E89">
        <v>14875</v>
      </c>
      <c r="F89">
        <v>0.65804025658040255</v>
      </c>
      <c r="G89" t="s">
        <v>248</v>
      </c>
      <c r="H89">
        <v>4.5999999999999996</v>
      </c>
      <c r="I89">
        <v>200</v>
      </c>
      <c r="J89" t="s">
        <v>247</v>
      </c>
      <c r="K89" t="s">
        <v>59</v>
      </c>
      <c r="L89">
        <v>21</v>
      </c>
    </row>
    <row r="90" spans="1:12" x14ac:dyDescent="0.3">
      <c r="A90" t="s">
        <v>163</v>
      </c>
      <c r="B90" t="s">
        <v>168</v>
      </c>
      <c r="C90">
        <v>27609</v>
      </c>
      <c r="D90">
        <v>27560</v>
      </c>
      <c r="E90">
        <v>20430</v>
      </c>
      <c r="F90">
        <v>0.74129172714078373</v>
      </c>
      <c r="G90" t="s">
        <v>246</v>
      </c>
      <c r="H90">
        <v>4</v>
      </c>
      <c r="I90">
        <v>210</v>
      </c>
      <c r="J90" t="s">
        <v>247</v>
      </c>
      <c r="K90" t="s">
        <v>81</v>
      </c>
      <c r="L90">
        <v>18</v>
      </c>
    </row>
    <row r="91" spans="1:12" x14ac:dyDescent="0.3">
      <c r="A91" t="s">
        <v>163</v>
      </c>
      <c r="B91" t="s">
        <v>169</v>
      </c>
      <c r="C91">
        <v>20380</v>
      </c>
      <c r="D91">
        <v>22510</v>
      </c>
      <c r="E91">
        <v>14795</v>
      </c>
      <c r="F91">
        <v>0.65726343847179036</v>
      </c>
      <c r="G91" t="s">
        <v>248</v>
      </c>
      <c r="H91">
        <v>3.3</v>
      </c>
      <c r="I91">
        <v>170</v>
      </c>
      <c r="J91" t="s">
        <v>247</v>
      </c>
      <c r="K91" t="s">
        <v>81</v>
      </c>
      <c r="L91">
        <v>21</v>
      </c>
    </row>
    <row r="92" spans="1:12" x14ac:dyDescent="0.3">
      <c r="A92" t="s">
        <v>170</v>
      </c>
      <c r="B92" t="s">
        <v>171</v>
      </c>
      <c r="C92">
        <v>18392</v>
      </c>
      <c r="D92">
        <v>31750</v>
      </c>
      <c r="E92">
        <v>26050</v>
      </c>
      <c r="F92">
        <v>0.82047244094488192</v>
      </c>
      <c r="G92" t="s">
        <v>246</v>
      </c>
      <c r="H92">
        <v>2.2999999999999998</v>
      </c>
      <c r="I92">
        <v>185</v>
      </c>
      <c r="J92" t="s">
        <v>247</v>
      </c>
      <c r="K92" t="s">
        <v>59</v>
      </c>
      <c r="L92">
        <v>26</v>
      </c>
    </row>
    <row r="93" spans="1:12" x14ac:dyDescent="0.3">
      <c r="A93" t="s">
        <v>170</v>
      </c>
      <c r="B93" t="s">
        <v>172</v>
      </c>
      <c r="C93">
        <v>27602</v>
      </c>
      <c r="D93">
        <v>49900</v>
      </c>
      <c r="E93">
        <v>41450</v>
      </c>
      <c r="F93">
        <v>0.83066132264529058</v>
      </c>
      <c r="G93" t="s">
        <v>246</v>
      </c>
      <c r="H93">
        <v>3.2</v>
      </c>
      <c r="I93">
        <v>221</v>
      </c>
      <c r="J93" t="s">
        <v>247</v>
      </c>
      <c r="K93" t="s">
        <v>59</v>
      </c>
      <c r="L93">
        <v>25</v>
      </c>
    </row>
    <row r="94" spans="1:12" x14ac:dyDescent="0.3">
      <c r="A94" t="s">
        <v>170</v>
      </c>
      <c r="B94" t="s">
        <v>173</v>
      </c>
      <c r="C94">
        <v>16774</v>
      </c>
      <c r="D94">
        <v>69700</v>
      </c>
      <c r="E94">
        <v>50375</v>
      </c>
      <c r="F94">
        <v>0.72274031563845054</v>
      </c>
      <c r="G94" t="s">
        <v>246</v>
      </c>
      <c r="H94">
        <v>4.3</v>
      </c>
      <c r="I94">
        <v>275</v>
      </c>
      <c r="J94" t="s">
        <v>247</v>
      </c>
      <c r="K94" t="s">
        <v>59</v>
      </c>
      <c r="L94">
        <v>21</v>
      </c>
    </row>
    <row r="95" spans="1:12" x14ac:dyDescent="0.3">
      <c r="A95" t="s">
        <v>170</v>
      </c>
      <c r="B95" t="s">
        <v>174</v>
      </c>
      <c r="C95">
        <v>3311</v>
      </c>
      <c r="D95">
        <v>82600</v>
      </c>
      <c r="E95">
        <v>58600</v>
      </c>
      <c r="F95">
        <v>0.70944309927360771</v>
      </c>
      <c r="G95" t="s">
        <v>246</v>
      </c>
      <c r="H95">
        <v>5</v>
      </c>
      <c r="I95">
        <v>302</v>
      </c>
      <c r="J95" t="s">
        <v>249</v>
      </c>
      <c r="K95" t="s">
        <v>59</v>
      </c>
      <c r="L95">
        <v>20</v>
      </c>
    </row>
    <row r="96" spans="1:12" x14ac:dyDescent="0.3">
      <c r="A96" t="s">
        <v>170</v>
      </c>
      <c r="B96" t="s">
        <v>175</v>
      </c>
      <c r="C96">
        <v>7998</v>
      </c>
      <c r="D96">
        <v>38900</v>
      </c>
      <c r="E96">
        <v>32436</v>
      </c>
      <c r="F96">
        <v>0.83383033419023134</v>
      </c>
      <c r="G96" t="s">
        <v>246</v>
      </c>
      <c r="H96">
        <v>2.2999999999999998</v>
      </c>
      <c r="I96">
        <v>190</v>
      </c>
      <c r="J96" t="s">
        <v>247</v>
      </c>
      <c r="K96" t="s">
        <v>59</v>
      </c>
      <c r="L96">
        <v>26</v>
      </c>
    </row>
    <row r="97" spans="1:12" x14ac:dyDescent="0.3">
      <c r="A97" t="s">
        <v>170</v>
      </c>
      <c r="B97" t="s">
        <v>176</v>
      </c>
      <c r="C97">
        <v>1526</v>
      </c>
      <c r="D97">
        <v>41000</v>
      </c>
      <c r="E97">
        <v>28635</v>
      </c>
      <c r="F97">
        <v>0.69841463414634142</v>
      </c>
      <c r="G97" t="s">
        <v>246</v>
      </c>
      <c r="H97">
        <v>2.2999999999999998</v>
      </c>
      <c r="I97">
        <v>185</v>
      </c>
      <c r="J97" t="s">
        <v>247</v>
      </c>
      <c r="K97" t="s">
        <v>59</v>
      </c>
      <c r="L97">
        <v>27</v>
      </c>
    </row>
    <row r="98" spans="1:12" x14ac:dyDescent="0.3">
      <c r="A98" t="s">
        <v>170</v>
      </c>
      <c r="B98" t="s">
        <v>177</v>
      </c>
      <c r="C98">
        <v>11592</v>
      </c>
      <c r="D98">
        <v>41600</v>
      </c>
      <c r="E98">
        <v>29200</v>
      </c>
      <c r="F98">
        <v>0.70192307692307687</v>
      </c>
      <c r="G98" t="s">
        <v>246</v>
      </c>
      <c r="H98">
        <v>3.2</v>
      </c>
      <c r="I98">
        <v>215</v>
      </c>
      <c r="J98" t="s">
        <v>247</v>
      </c>
      <c r="K98" t="s">
        <v>59</v>
      </c>
      <c r="L98">
        <v>26</v>
      </c>
    </row>
    <row r="99" spans="1:12" x14ac:dyDescent="0.3">
      <c r="A99" t="s">
        <v>170</v>
      </c>
      <c r="B99" t="s">
        <v>178</v>
      </c>
      <c r="C99">
        <v>954</v>
      </c>
      <c r="D99">
        <v>85500</v>
      </c>
      <c r="E99">
        <v>63423</v>
      </c>
      <c r="F99">
        <v>0.74178947368421055</v>
      </c>
      <c r="G99" t="s">
        <v>246</v>
      </c>
      <c r="H99">
        <v>5</v>
      </c>
      <c r="I99">
        <v>302</v>
      </c>
      <c r="J99" t="s">
        <v>249</v>
      </c>
      <c r="K99" t="s">
        <v>59</v>
      </c>
      <c r="L99">
        <v>20</v>
      </c>
    </row>
    <row r="100" spans="1:12" x14ac:dyDescent="0.3">
      <c r="A100" t="s">
        <v>170</v>
      </c>
      <c r="B100" t="s">
        <v>179</v>
      </c>
      <c r="C100">
        <v>28976</v>
      </c>
      <c r="D100">
        <v>35300</v>
      </c>
      <c r="E100">
        <v>28720</v>
      </c>
      <c r="F100">
        <v>0.81359773371104815</v>
      </c>
      <c r="G100" t="s">
        <v>246</v>
      </c>
      <c r="H100">
        <v>3.2</v>
      </c>
      <c r="I100">
        <v>215</v>
      </c>
      <c r="J100" t="s">
        <v>247</v>
      </c>
      <c r="K100" t="s">
        <v>81</v>
      </c>
      <c r="L100">
        <v>20</v>
      </c>
    </row>
    <row r="101" spans="1:12" x14ac:dyDescent="0.3">
      <c r="A101" t="s">
        <v>180</v>
      </c>
      <c r="B101" t="s">
        <v>181</v>
      </c>
      <c r="C101">
        <v>42643</v>
      </c>
      <c r="D101">
        <v>13499</v>
      </c>
      <c r="E101">
        <v>8450</v>
      </c>
      <c r="F101">
        <v>0.62597229424401812</v>
      </c>
      <c r="G101" t="s">
        <v>248</v>
      </c>
      <c r="H101">
        <v>1.8</v>
      </c>
      <c r="I101">
        <v>126</v>
      </c>
      <c r="J101" t="s">
        <v>247</v>
      </c>
      <c r="K101" t="s">
        <v>59</v>
      </c>
      <c r="L101">
        <v>30</v>
      </c>
    </row>
    <row r="102" spans="1:12" x14ac:dyDescent="0.3">
      <c r="A102" t="s">
        <v>180</v>
      </c>
      <c r="B102" t="s">
        <v>182</v>
      </c>
      <c r="C102">
        <v>88094</v>
      </c>
      <c r="D102">
        <v>20390</v>
      </c>
      <c r="E102">
        <v>11295</v>
      </c>
      <c r="F102">
        <v>0.55394801373222169</v>
      </c>
      <c r="G102" t="s">
        <v>248</v>
      </c>
      <c r="H102">
        <v>2.4</v>
      </c>
      <c r="I102">
        <v>155</v>
      </c>
      <c r="J102" t="s">
        <v>247</v>
      </c>
      <c r="K102" t="s">
        <v>59</v>
      </c>
      <c r="L102">
        <v>25</v>
      </c>
    </row>
    <row r="103" spans="1:12" x14ac:dyDescent="0.3">
      <c r="A103" t="s">
        <v>180</v>
      </c>
      <c r="B103" t="s">
        <v>183</v>
      </c>
      <c r="C103">
        <v>79853</v>
      </c>
      <c r="D103">
        <v>26249</v>
      </c>
      <c r="E103">
        <v>15125</v>
      </c>
      <c r="F103">
        <v>0.57621242714008147</v>
      </c>
      <c r="G103" t="s">
        <v>248</v>
      </c>
      <c r="H103">
        <v>3</v>
      </c>
      <c r="I103">
        <v>222</v>
      </c>
      <c r="J103" t="s">
        <v>247</v>
      </c>
      <c r="K103" t="s">
        <v>59</v>
      </c>
      <c r="L103">
        <v>25</v>
      </c>
    </row>
    <row r="104" spans="1:12" x14ac:dyDescent="0.3">
      <c r="A104" t="s">
        <v>180</v>
      </c>
      <c r="B104" t="s">
        <v>184</v>
      </c>
      <c r="C104">
        <v>27308</v>
      </c>
      <c r="D104">
        <v>26399</v>
      </c>
      <c r="E104">
        <v>15380</v>
      </c>
      <c r="F104">
        <v>0.58259782567521501</v>
      </c>
      <c r="G104" t="s">
        <v>248</v>
      </c>
      <c r="H104">
        <v>3.3</v>
      </c>
      <c r="I104">
        <v>170</v>
      </c>
      <c r="J104" t="s">
        <v>247</v>
      </c>
      <c r="K104" t="s">
        <v>81</v>
      </c>
      <c r="L104">
        <v>21</v>
      </c>
    </row>
    <row r="105" spans="1:12" x14ac:dyDescent="0.3">
      <c r="A105" t="s">
        <v>180</v>
      </c>
      <c r="B105" t="s">
        <v>185</v>
      </c>
      <c r="C105">
        <v>42574</v>
      </c>
      <c r="D105">
        <v>29299</v>
      </c>
      <c r="E105">
        <v>17810</v>
      </c>
      <c r="F105">
        <v>0.60787057578756953</v>
      </c>
      <c r="G105" t="s">
        <v>248</v>
      </c>
      <c r="H105">
        <v>3.3</v>
      </c>
      <c r="I105">
        <v>170</v>
      </c>
      <c r="J105" t="s">
        <v>247</v>
      </c>
      <c r="K105" t="s">
        <v>81</v>
      </c>
      <c r="L105">
        <v>19</v>
      </c>
    </row>
    <row r="106" spans="1:12" x14ac:dyDescent="0.3">
      <c r="A106" t="s">
        <v>180</v>
      </c>
      <c r="B106" t="s">
        <v>186</v>
      </c>
      <c r="C106">
        <v>54158</v>
      </c>
      <c r="D106">
        <v>22799</v>
      </c>
      <c r="E106">
        <v>13093</v>
      </c>
      <c r="F106">
        <v>0.57427957366551163</v>
      </c>
      <c r="G106" t="s">
        <v>248</v>
      </c>
      <c r="H106">
        <v>3.3</v>
      </c>
      <c r="I106">
        <v>170</v>
      </c>
      <c r="J106" t="s">
        <v>247</v>
      </c>
      <c r="K106" t="s">
        <v>81</v>
      </c>
      <c r="L106">
        <v>18</v>
      </c>
    </row>
    <row r="107" spans="1:12" x14ac:dyDescent="0.3">
      <c r="A107" t="s">
        <v>180</v>
      </c>
      <c r="B107" t="s">
        <v>187</v>
      </c>
      <c r="C107">
        <v>65004.999999999993</v>
      </c>
      <c r="D107">
        <v>17890</v>
      </c>
      <c r="E107">
        <v>10670</v>
      </c>
      <c r="F107">
        <v>0.59642258244829516</v>
      </c>
      <c r="G107" t="s">
        <v>248</v>
      </c>
      <c r="H107">
        <v>3.3</v>
      </c>
      <c r="I107">
        <v>170</v>
      </c>
      <c r="J107" t="s">
        <v>247</v>
      </c>
      <c r="K107" t="s">
        <v>81</v>
      </c>
      <c r="L107">
        <v>18</v>
      </c>
    </row>
    <row r="108" spans="1:12" x14ac:dyDescent="0.3">
      <c r="A108" t="s">
        <v>188</v>
      </c>
      <c r="B108" t="s">
        <v>189</v>
      </c>
      <c r="C108">
        <v>1112</v>
      </c>
      <c r="D108">
        <v>18145</v>
      </c>
      <c r="E108">
        <v>11240</v>
      </c>
      <c r="F108">
        <v>0.61945439515017908</v>
      </c>
      <c r="G108" t="s">
        <v>248</v>
      </c>
      <c r="H108">
        <v>3.1</v>
      </c>
      <c r="I108">
        <v>150</v>
      </c>
      <c r="J108" t="s">
        <v>247</v>
      </c>
      <c r="K108" t="s">
        <v>59</v>
      </c>
      <c r="L108">
        <v>25</v>
      </c>
    </row>
    <row r="109" spans="1:12" x14ac:dyDescent="0.3">
      <c r="A109" t="s">
        <v>188</v>
      </c>
      <c r="B109" t="s">
        <v>190</v>
      </c>
      <c r="C109">
        <v>38554</v>
      </c>
      <c r="D109">
        <v>24150</v>
      </c>
      <c r="E109">
        <v>17100</v>
      </c>
      <c r="F109">
        <v>0.70807453416149069</v>
      </c>
      <c r="G109" t="s">
        <v>246</v>
      </c>
      <c r="H109">
        <v>3.5</v>
      </c>
      <c r="I109">
        <v>215</v>
      </c>
      <c r="J109" t="s">
        <v>247</v>
      </c>
      <c r="K109" t="s">
        <v>59</v>
      </c>
      <c r="L109">
        <v>23</v>
      </c>
    </row>
    <row r="110" spans="1:12" x14ac:dyDescent="0.3">
      <c r="A110" t="s">
        <v>188</v>
      </c>
      <c r="B110" t="s">
        <v>191</v>
      </c>
      <c r="C110">
        <v>80255</v>
      </c>
      <c r="D110">
        <v>18270</v>
      </c>
      <c r="E110">
        <v>11459</v>
      </c>
      <c r="F110">
        <v>0.62720306513409962</v>
      </c>
      <c r="G110" t="s">
        <v>248</v>
      </c>
      <c r="H110">
        <v>2.4</v>
      </c>
      <c r="I110">
        <v>150</v>
      </c>
      <c r="J110" t="s">
        <v>247</v>
      </c>
      <c r="K110" t="s">
        <v>59</v>
      </c>
      <c r="L110">
        <v>27</v>
      </c>
    </row>
    <row r="111" spans="1:12" x14ac:dyDescent="0.3">
      <c r="A111" t="s">
        <v>188</v>
      </c>
      <c r="B111" t="s">
        <v>192</v>
      </c>
      <c r="C111">
        <v>14690</v>
      </c>
      <c r="D111">
        <v>36229</v>
      </c>
      <c r="E111">
        <v>19890</v>
      </c>
      <c r="F111">
        <v>0.54900770101300067</v>
      </c>
      <c r="G111" t="s">
        <v>248</v>
      </c>
      <c r="H111">
        <v>4</v>
      </c>
      <c r="I111">
        <v>250</v>
      </c>
      <c r="J111" t="s">
        <v>247</v>
      </c>
      <c r="K111" t="s">
        <v>59</v>
      </c>
      <c r="L111">
        <v>22</v>
      </c>
    </row>
    <row r="112" spans="1:12" x14ac:dyDescent="0.3">
      <c r="A112" t="s">
        <v>188</v>
      </c>
      <c r="B112" t="s">
        <v>193</v>
      </c>
      <c r="C112">
        <v>20017</v>
      </c>
      <c r="D112">
        <v>31598</v>
      </c>
      <c r="E112">
        <v>19925</v>
      </c>
      <c r="F112">
        <v>0.63057788467624531</v>
      </c>
      <c r="G112" t="s">
        <v>248</v>
      </c>
      <c r="H112">
        <v>4.3</v>
      </c>
      <c r="I112">
        <v>190</v>
      </c>
      <c r="J112" t="s">
        <v>247</v>
      </c>
      <c r="K112" t="s">
        <v>81</v>
      </c>
      <c r="L112">
        <v>19</v>
      </c>
    </row>
    <row r="113" spans="1:12" x14ac:dyDescent="0.3">
      <c r="A113" t="s">
        <v>188</v>
      </c>
      <c r="B113" t="s">
        <v>194</v>
      </c>
      <c r="C113">
        <v>24361</v>
      </c>
      <c r="D113">
        <v>25345</v>
      </c>
      <c r="E113">
        <v>15240</v>
      </c>
      <c r="F113">
        <v>0.60130203195896625</v>
      </c>
      <c r="G113" t="s">
        <v>248</v>
      </c>
      <c r="H113">
        <v>3.4</v>
      </c>
      <c r="I113">
        <v>185</v>
      </c>
      <c r="J113" t="s">
        <v>247</v>
      </c>
      <c r="K113" t="s">
        <v>81</v>
      </c>
      <c r="L113">
        <v>22</v>
      </c>
    </row>
    <row r="114" spans="1:12" x14ac:dyDescent="0.3">
      <c r="A114" t="s">
        <v>195</v>
      </c>
      <c r="B114" t="s">
        <v>103</v>
      </c>
      <c r="C114">
        <v>32734</v>
      </c>
      <c r="D114">
        <v>12640</v>
      </c>
      <c r="E114">
        <v>7750</v>
      </c>
      <c r="F114">
        <v>0.61313291139240511</v>
      </c>
      <c r="G114" t="s">
        <v>248</v>
      </c>
      <c r="H114">
        <v>2</v>
      </c>
      <c r="I114">
        <v>132</v>
      </c>
      <c r="J114" t="s">
        <v>247</v>
      </c>
      <c r="K114" t="s">
        <v>59</v>
      </c>
      <c r="L114">
        <v>29</v>
      </c>
    </row>
    <row r="115" spans="1:12" x14ac:dyDescent="0.3">
      <c r="A115" t="s">
        <v>195</v>
      </c>
      <c r="B115" t="s">
        <v>196</v>
      </c>
      <c r="C115">
        <v>5240</v>
      </c>
      <c r="D115">
        <v>16079.999999999998</v>
      </c>
      <c r="E115">
        <v>9800</v>
      </c>
      <c r="F115">
        <v>0.60945273631840802</v>
      </c>
      <c r="G115" t="s">
        <v>248</v>
      </c>
      <c r="H115">
        <v>2</v>
      </c>
      <c r="I115">
        <v>132</v>
      </c>
      <c r="J115" t="s">
        <v>247</v>
      </c>
      <c r="K115" t="s">
        <v>59</v>
      </c>
      <c r="L115">
        <v>27</v>
      </c>
    </row>
    <row r="116" spans="1:12" x14ac:dyDescent="0.3">
      <c r="A116" t="s">
        <v>195</v>
      </c>
      <c r="B116" t="s">
        <v>197</v>
      </c>
      <c r="C116">
        <v>24155</v>
      </c>
      <c r="D116">
        <v>18850</v>
      </c>
      <c r="E116">
        <v>12025</v>
      </c>
      <c r="F116">
        <v>0.63793103448275867</v>
      </c>
      <c r="G116" t="s">
        <v>248</v>
      </c>
      <c r="H116">
        <v>2.4</v>
      </c>
      <c r="I116">
        <v>150</v>
      </c>
      <c r="J116" t="s">
        <v>247</v>
      </c>
      <c r="K116" t="s">
        <v>81</v>
      </c>
      <c r="L116">
        <v>24</v>
      </c>
    </row>
    <row r="117" spans="1:12" x14ac:dyDescent="0.3">
      <c r="A117" t="s">
        <v>195</v>
      </c>
      <c r="B117" t="s">
        <v>198</v>
      </c>
      <c r="C117">
        <v>1872</v>
      </c>
      <c r="D117">
        <v>43000</v>
      </c>
      <c r="E117">
        <v>30434</v>
      </c>
      <c r="F117">
        <v>0.70776744186046514</v>
      </c>
      <c r="G117" t="s">
        <v>246</v>
      </c>
      <c r="H117">
        <v>3.5</v>
      </c>
      <c r="I117">
        <v>253</v>
      </c>
      <c r="J117" t="s">
        <v>247</v>
      </c>
      <c r="K117" t="s">
        <v>59</v>
      </c>
      <c r="L117">
        <v>21</v>
      </c>
    </row>
    <row r="118" spans="1:12" x14ac:dyDescent="0.3">
      <c r="A118" t="s">
        <v>199</v>
      </c>
      <c r="B118" t="s">
        <v>200</v>
      </c>
      <c r="C118">
        <v>51645</v>
      </c>
      <c r="D118">
        <v>21610</v>
      </c>
      <c r="E118">
        <v>13790</v>
      </c>
      <c r="F118">
        <v>0.6381304951411384</v>
      </c>
      <c r="G118" t="s">
        <v>248</v>
      </c>
      <c r="H118">
        <v>2.4</v>
      </c>
      <c r="I118">
        <v>150</v>
      </c>
      <c r="J118" t="s">
        <v>247</v>
      </c>
      <c r="K118" t="s">
        <v>59</v>
      </c>
      <c r="L118">
        <v>27</v>
      </c>
    </row>
    <row r="119" spans="1:12" x14ac:dyDescent="0.3">
      <c r="A119" t="s">
        <v>199</v>
      </c>
      <c r="B119" t="s">
        <v>201</v>
      </c>
      <c r="C119">
        <v>131097</v>
      </c>
      <c r="D119">
        <v>19720</v>
      </c>
      <c r="E119">
        <v>10290</v>
      </c>
      <c r="F119">
        <v>0.52180527383367137</v>
      </c>
      <c r="G119" t="s">
        <v>248</v>
      </c>
      <c r="H119">
        <v>3.4</v>
      </c>
      <c r="I119">
        <v>175</v>
      </c>
      <c r="J119" t="s">
        <v>247</v>
      </c>
      <c r="K119" t="s">
        <v>59</v>
      </c>
      <c r="L119">
        <v>25</v>
      </c>
    </row>
    <row r="120" spans="1:12" x14ac:dyDescent="0.3">
      <c r="A120" t="s">
        <v>199</v>
      </c>
      <c r="B120" t="s">
        <v>202</v>
      </c>
      <c r="C120">
        <v>19911</v>
      </c>
      <c r="D120">
        <v>25310</v>
      </c>
      <c r="E120">
        <v>17805</v>
      </c>
      <c r="F120">
        <v>0.70347688660608454</v>
      </c>
      <c r="G120" t="s">
        <v>246</v>
      </c>
      <c r="H120">
        <v>3.8</v>
      </c>
      <c r="I120">
        <v>200</v>
      </c>
      <c r="J120" t="s">
        <v>247</v>
      </c>
      <c r="K120" t="s">
        <v>59</v>
      </c>
      <c r="L120">
        <v>25</v>
      </c>
    </row>
    <row r="121" spans="1:12" x14ac:dyDescent="0.3">
      <c r="A121" t="s">
        <v>199</v>
      </c>
      <c r="B121" t="s">
        <v>203</v>
      </c>
      <c r="C121">
        <v>92364</v>
      </c>
      <c r="D121">
        <v>21665</v>
      </c>
      <c r="E121">
        <v>14010</v>
      </c>
      <c r="F121">
        <v>0.6466651280867759</v>
      </c>
      <c r="G121" t="s">
        <v>248</v>
      </c>
      <c r="H121">
        <v>3.8</v>
      </c>
      <c r="I121">
        <v>195</v>
      </c>
      <c r="J121" t="s">
        <v>247</v>
      </c>
      <c r="K121" t="s">
        <v>59</v>
      </c>
      <c r="L121">
        <v>25</v>
      </c>
    </row>
    <row r="122" spans="1:12" x14ac:dyDescent="0.3">
      <c r="A122" t="s">
        <v>199</v>
      </c>
      <c r="B122" t="s">
        <v>204</v>
      </c>
      <c r="C122">
        <v>35945</v>
      </c>
      <c r="D122">
        <v>23755</v>
      </c>
      <c r="E122">
        <v>13225</v>
      </c>
      <c r="F122">
        <v>0.55672490002104824</v>
      </c>
      <c r="G122" t="s">
        <v>248</v>
      </c>
      <c r="H122">
        <v>3.8</v>
      </c>
      <c r="I122">
        <v>205</v>
      </c>
      <c r="J122" t="s">
        <v>247</v>
      </c>
      <c r="K122" t="s">
        <v>59</v>
      </c>
      <c r="L122">
        <v>24</v>
      </c>
    </row>
    <row r="123" spans="1:12" x14ac:dyDescent="0.3">
      <c r="A123" t="s">
        <v>199</v>
      </c>
      <c r="B123" t="s">
        <v>205</v>
      </c>
      <c r="C123">
        <v>39572</v>
      </c>
      <c r="D123">
        <v>25635</v>
      </c>
      <c r="E123">
        <v>14215</v>
      </c>
      <c r="F123">
        <v>0.55451531109810803</v>
      </c>
      <c r="G123" t="s">
        <v>248</v>
      </c>
      <c r="H123">
        <v>3.4</v>
      </c>
      <c r="I123">
        <v>185</v>
      </c>
      <c r="J123" t="s">
        <v>247</v>
      </c>
      <c r="K123" t="s">
        <v>81</v>
      </c>
      <c r="L123">
        <v>23</v>
      </c>
    </row>
    <row r="124" spans="1:12" x14ac:dyDescent="0.3">
      <c r="A124" t="s">
        <v>206</v>
      </c>
      <c r="B124" t="s">
        <v>207</v>
      </c>
      <c r="C124">
        <v>8982</v>
      </c>
      <c r="D124">
        <v>41430</v>
      </c>
      <c r="E124">
        <v>41250</v>
      </c>
      <c r="F124">
        <v>0.99565532223026787</v>
      </c>
      <c r="G124" t="s">
        <v>246</v>
      </c>
      <c r="H124">
        <v>2.7</v>
      </c>
      <c r="I124">
        <v>217</v>
      </c>
      <c r="J124" t="s">
        <v>247</v>
      </c>
      <c r="K124" t="s">
        <v>59</v>
      </c>
      <c r="L124">
        <v>22</v>
      </c>
    </row>
    <row r="125" spans="1:12" x14ac:dyDescent="0.3">
      <c r="A125" t="s">
        <v>206</v>
      </c>
      <c r="B125" t="s">
        <v>208</v>
      </c>
      <c r="C125">
        <v>1280</v>
      </c>
      <c r="D125">
        <v>71020</v>
      </c>
      <c r="E125">
        <v>60625</v>
      </c>
      <c r="F125">
        <v>0.85363277949873273</v>
      </c>
      <c r="G125" t="s">
        <v>246</v>
      </c>
      <c r="H125">
        <v>3.4</v>
      </c>
      <c r="I125">
        <v>300</v>
      </c>
      <c r="J125" t="s">
        <v>249</v>
      </c>
      <c r="K125" t="s">
        <v>59</v>
      </c>
      <c r="L125">
        <v>21</v>
      </c>
    </row>
    <row r="126" spans="1:12" x14ac:dyDescent="0.3">
      <c r="A126" t="s">
        <v>206</v>
      </c>
      <c r="B126" t="s">
        <v>209</v>
      </c>
      <c r="C126">
        <v>1866</v>
      </c>
      <c r="D126">
        <v>74970</v>
      </c>
      <c r="E126">
        <v>67550</v>
      </c>
      <c r="F126">
        <v>0.90102707749766575</v>
      </c>
      <c r="G126" t="s">
        <v>246</v>
      </c>
      <c r="H126">
        <v>3.4</v>
      </c>
      <c r="I126">
        <v>300</v>
      </c>
      <c r="J126" t="s">
        <v>249</v>
      </c>
      <c r="K126" t="s">
        <v>59</v>
      </c>
      <c r="L126">
        <v>23</v>
      </c>
    </row>
    <row r="127" spans="1:12" x14ac:dyDescent="0.3">
      <c r="A127" t="s">
        <v>210</v>
      </c>
      <c r="B127" t="s">
        <v>211</v>
      </c>
      <c r="C127">
        <v>9191</v>
      </c>
      <c r="D127">
        <v>33120</v>
      </c>
      <c r="E127">
        <v>22789</v>
      </c>
      <c r="F127">
        <v>0.68807367149758458</v>
      </c>
      <c r="G127" t="s">
        <v>248</v>
      </c>
      <c r="H127">
        <v>2.2999999999999998</v>
      </c>
      <c r="I127">
        <v>170</v>
      </c>
      <c r="J127" t="s">
        <v>247</v>
      </c>
      <c r="K127" t="s">
        <v>59</v>
      </c>
      <c r="L127">
        <v>23</v>
      </c>
    </row>
    <row r="128" spans="1:12" x14ac:dyDescent="0.3">
      <c r="A128" t="s">
        <v>210</v>
      </c>
      <c r="B128" t="s">
        <v>212</v>
      </c>
      <c r="C128">
        <v>12115</v>
      </c>
      <c r="D128">
        <v>26100</v>
      </c>
      <c r="E128">
        <v>18255</v>
      </c>
      <c r="F128">
        <v>0.69942528735632181</v>
      </c>
      <c r="G128" t="s">
        <v>246</v>
      </c>
      <c r="H128">
        <v>2</v>
      </c>
      <c r="I128">
        <v>185</v>
      </c>
      <c r="J128" t="s">
        <v>247</v>
      </c>
      <c r="K128" t="s">
        <v>59</v>
      </c>
      <c r="L128">
        <v>23</v>
      </c>
    </row>
    <row r="129" spans="1:12" x14ac:dyDescent="0.3">
      <c r="A129" t="s">
        <v>213</v>
      </c>
      <c r="B129" t="s">
        <v>214</v>
      </c>
      <c r="C129">
        <v>80620</v>
      </c>
      <c r="D129">
        <v>10685</v>
      </c>
      <c r="E129">
        <v>9200</v>
      </c>
      <c r="F129">
        <v>0.86102012166588671</v>
      </c>
      <c r="G129" t="s">
        <v>246</v>
      </c>
      <c r="H129">
        <v>1.9</v>
      </c>
      <c r="I129">
        <v>100</v>
      </c>
      <c r="J129" t="s">
        <v>247</v>
      </c>
      <c r="K129" t="s">
        <v>59</v>
      </c>
      <c r="L129">
        <v>33</v>
      </c>
    </row>
    <row r="130" spans="1:12" x14ac:dyDescent="0.3">
      <c r="A130" t="s">
        <v>213</v>
      </c>
      <c r="B130" t="s">
        <v>215</v>
      </c>
      <c r="C130">
        <v>24546</v>
      </c>
      <c r="D130">
        <v>12535</v>
      </c>
      <c r="E130">
        <v>10590</v>
      </c>
      <c r="F130">
        <v>0.84483446350219382</v>
      </c>
      <c r="G130" t="s">
        <v>246</v>
      </c>
      <c r="H130">
        <v>1.9</v>
      </c>
      <c r="I130">
        <v>100</v>
      </c>
      <c r="J130" t="s">
        <v>247</v>
      </c>
      <c r="K130" t="s">
        <v>59</v>
      </c>
      <c r="L130">
        <v>33</v>
      </c>
    </row>
    <row r="131" spans="1:12" x14ac:dyDescent="0.3">
      <c r="A131" t="s">
        <v>213</v>
      </c>
      <c r="B131" t="s">
        <v>216</v>
      </c>
      <c r="C131">
        <v>5223</v>
      </c>
      <c r="D131">
        <v>14290</v>
      </c>
      <c r="E131">
        <v>10790</v>
      </c>
      <c r="F131">
        <v>0.75507347795661306</v>
      </c>
      <c r="G131" t="s">
        <v>246</v>
      </c>
      <c r="H131">
        <v>1.9</v>
      </c>
      <c r="I131">
        <v>124</v>
      </c>
      <c r="J131" t="s">
        <v>247</v>
      </c>
      <c r="K131" t="s">
        <v>59</v>
      </c>
      <c r="L131">
        <v>31</v>
      </c>
    </row>
    <row r="132" spans="1:12" x14ac:dyDescent="0.3">
      <c r="A132" t="s">
        <v>213</v>
      </c>
      <c r="B132" t="s">
        <v>217</v>
      </c>
      <c r="C132">
        <v>8472</v>
      </c>
      <c r="D132">
        <v>18835</v>
      </c>
      <c r="E132">
        <v>13700</v>
      </c>
      <c r="F132">
        <v>0.72736925935757901</v>
      </c>
      <c r="G132" t="s">
        <v>246</v>
      </c>
      <c r="H132">
        <v>2.2000000000000002</v>
      </c>
      <c r="I132">
        <v>137</v>
      </c>
      <c r="J132" t="s">
        <v>247</v>
      </c>
      <c r="K132" t="s">
        <v>59</v>
      </c>
      <c r="L132">
        <v>27</v>
      </c>
    </row>
    <row r="133" spans="1:12" x14ac:dyDescent="0.3">
      <c r="A133" t="s">
        <v>213</v>
      </c>
      <c r="B133" t="s">
        <v>218</v>
      </c>
      <c r="C133">
        <v>49989</v>
      </c>
      <c r="D133">
        <v>15010</v>
      </c>
      <c r="E133">
        <v>9900</v>
      </c>
      <c r="F133">
        <v>0.65956029313790809</v>
      </c>
      <c r="G133" t="s">
        <v>248</v>
      </c>
      <c r="H133">
        <v>2.2000000000000002</v>
      </c>
      <c r="I133">
        <v>137</v>
      </c>
      <c r="J133" t="s">
        <v>247</v>
      </c>
      <c r="K133" t="s">
        <v>59</v>
      </c>
      <c r="L133">
        <v>28</v>
      </c>
    </row>
    <row r="134" spans="1:12" x14ac:dyDescent="0.3">
      <c r="A134" t="s">
        <v>219</v>
      </c>
      <c r="B134" t="s">
        <v>220</v>
      </c>
      <c r="C134">
        <v>47107</v>
      </c>
      <c r="D134">
        <v>22695</v>
      </c>
      <c r="E134">
        <v>16770</v>
      </c>
      <c r="F134">
        <v>0.73892927957699939</v>
      </c>
      <c r="G134" t="s">
        <v>246</v>
      </c>
      <c r="H134">
        <v>2.5</v>
      </c>
      <c r="I134">
        <v>165</v>
      </c>
      <c r="J134" t="s">
        <v>247</v>
      </c>
      <c r="K134" t="s">
        <v>59</v>
      </c>
      <c r="L134">
        <v>25</v>
      </c>
    </row>
    <row r="135" spans="1:12" x14ac:dyDescent="0.3">
      <c r="A135" t="s">
        <v>219</v>
      </c>
      <c r="B135" t="s">
        <v>221</v>
      </c>
      <c r="C135">
        <v>33028</v>
      </c>
      <c r="D135">
        <v>20095</v>
      </c>
      <c r="E135">
        <v>14832</v>
      </c>
      <c r="F135">
        <v>0.73809405324707644</v>
      </c>
      <c r="G135" t="s">
        <v>246</v>
      </c>
      <c r="H135">
        <v>2.5</v>
      </c>
      <c r="I135">
        <v>165</v>
      </c>
      <c r="J135" t="s">
        <v>247</v>
      </c>
      <c r="K135" t="s">
        <v>81</v>
      </c>
      <c r="L135">
        <v>24</v>
      </c>
    </row>
    <row r="136" spans="1:12" x14ac:dyDescent="0.3">
      <c r="A136" t="s">
        <v>222</v>
      </c>
      <c r="B136" t="s">
        <v>223</v>
      </c>
      <c r="C136">
        <v>142535</v>
      </c>
      <c r="D136">
        <v>13108</v>
      </c>
      <c r="E136">
        <v>10025</v>
      </c>
      <c r="F136">
        <v>0.76480012206286241</v>
      </c>
      <c r="G136" t="s">
        <v>246</v>
      </c>
      <c r="H136">
        <v>1.8</v>
      </c>
      <c r="I136">
        <v>120</v>
      </c>
      <c r="J136" t="s">
        <v>247</v>
      </c>
      <c r="K136" t="s">
        <v>59</v>
      </c>
      <c r="L136">
        <v>33</v>
      </c>
    </row>
    <row r="137" spans="1:12" x14ac:dyDescent="0.3">
      <c r="A137" t="s">
        <v>222</v>
      </c>
      <c r="B137" t="s">
        <v>224</v>
      </c>
      <c r="C137">
        <v>247994</v>
      </c>
      <c r="D137">
        <v>17518</v>
      </c>
      <c r="E137">
        <v>13245</v>
      </c>
      <c r="F137">
        <v>0.75607946112569924</v>
      </c>
      <c r="G137" t="s">
        <v>246</v>
      </c>
      <c r="H137">
        <v>2.2000000000000002</v>
      </c>
      <c r="I137">
        <v>133</v>
      </c>
      <c r="J137" t="s">
        <v>247</v>
      </c>
      <c r="K137" t="s">
        <v>59</v>
      </c>
      <c r="L137">
        <v>27</v>
      </c>
    </row>
    <row r="138" spans="1:12" x14ac:dyDescent="0.3">
      <c r="A138" t="s">
        <v>222</v>
      </c>
      <c r="B138" t="s">
        <v>225</v>
      </c>
      <c r="C138">
        <v>63849</v>
      </c>
      <c r="D138">
        <v>25545</v>
      </c>
      <c r="E138">
        <v>18140</v>
      </c>
      <c r="F138">
        <v>0.71011939714229788</v>
      </c>
      <c r="G138" t="s">
        <v>246</v>
      </c>
      <c r="H138">
        <v>3</v>
      </c>
      <c r="I138">
        <v>210</v>
      </c>
      <c r="J138" t="s">
        <v>247</v>
      </c>
      <c r="K138" t="s">
        <v>59</v>
      </c>
      <c r="L138">
        <v>26</v>
      </c>
    </row>
    <row r="139" spans="1:12" x14ac:dyDescent="0.3">
      <c r="A139" t="s">
        <v>222</v>
      </c>
      <c r="B139" t="s">
        <v>226</v>
      </c>
      <c r="C139">
        <v>33269</v>
      </c>
      <c r="D139">
        <v>16875</v>
      </c>
      <c r="E139">
        <v>15445</v>
      </c>
      <c r="F139">
        <v>0.91525925925925922</v>
      </c>
      <c r="G139" t="s">
        <v>246</v>
      </c>
      <c r="H139">
        <v>1.8</v>
      </c>
      <c r="I139">
        <v>140</v>
      </c>
      <c r="J139" t="s">
        <v>247</v>
      </c>
      <c r="K139" t="s">
        <v>59</v>
      </c>
      <c r="L139">
        <v>31</v>
      </c>
    </row>
    <row r="140" spans="1:12" x14ac:dyDescent="0.3">
      <c r="A140" t="s">
        <v>222</v>
      </c>
      <c r="B140" t="s">
        <v>227</v>
      </c>
      <c r="C140">
        <v>84087</v>
      </c>
      <c r="D140">
        <v>11528</v>
      </c>
      <c r="E140">
        <v>9575</v>
      </c>
      <c r="F140">
        <v>0.83058639833448988</v>
      </c>
      <c r="G140" t="s">
        <v>246</v>
      </c>
      <c r="H140">
        <v>2.4</v>
      </c>
      <c r="I140">
        <v>142</v>
      </c>
      <c r="J140" t="s">
        <v>247</v>
      </c>
      <c r="K140" t="s">
        <v>81</v>
      </c>
      <c r="L140">
        <v>23</v>
      </c>
    </row>
    <row r="141" spans="1:12" x14ac:dyDescent="0.3">
      <c r="A141" t="s">
        <v>222</v>
      </c>
      <c r="B141" t="s">
        <v>228</v>
      </c>
      <c r="C141">
        <v>65119</v>
      </c>
      <c r="D141">
        <v>22368</v>
      </c>
      <c r="E141">
        <v>18689</v>
      </c>
      <c r="F141">
        <v>0.83552396280400576</v>
      </c>
      <c r="G141" t="s">
        <v>246</v>
      </c>
      <c r="H141">
        <v>3</v>
      </c>
      <c r="I141">
        <v>194</v>
      </c>
      <c r="J141" t="s">
        <v>247</v>
      </c>
      <c r="K141" t="s">
        <v>81</v>
      </c>
      <c r="L141">
        <v>22</v>
      </c>
    </row>
    <row r="142" spans="1:12" x14ac:dyDescent="0.3">
      <c r="A142" t="s">
        <v>222</v>
      </c>
      <c r="B142" t="s">
        <v>229</v>
      </c>
      <c r="C142">
        <v>25106</v>
      </c>
      <c r="D142">
        <v>16888</v>
      </c>
      <c r="E142">
        <v>13325</v>
      </c>
      <c r="F142">
        <v>0.78902179062055899</v>
      </c>
      <c r="G142" t="s">
        <v>246</v>
      </c>
      <c r="H142">
        <v>2</v>
      </c>
      <c r="I142">
        <v>127</v>
      </c>
      <c r="J142" t="s">
        <v>247</v>
      </c>
      <c r="K142" t="s">
        <v>81</v>
      </c>
      <c r="L142">
        <v>27</v>
      </c>
    </row>
    <row r="143" spans="1:12" x14ac:dyDescent="0.3">
      <c r="A143" t="s">
        <v>222</v>
      </c>
      <c r="B143" t="s">
        <v>230</v>
      </c>
      <c r="C143">
        <v>68411</v>
      </c>
      <c r="D143">
        <v>22288</v>
      </c>
      <c r="E143">
        <v>19425</v>
      </c>
      <c r="F143">
        <v>0.87154522613065322</v>
      </c>
      <c r="G143" t="s">
        <v>246</v>
      </c>
      <c r="H143">
        <v>2.7</v>
      </c>
      <c r="I143">
        <v>150</v>
      </c>
      <c r="J143" t="s">
        <v>247</v>
      </c>
      <c r="K143" t="s">
        <v>81</v>
      </c>
      <c r="L143">
        <v>23</v>
      </c>
    </row>
    <row r="144" spans="1:12" x14ac:dyDescent="0.3">
      <c r="A144" t="s">
        <v>222</v>
      </c>
      <c r="B144" t="s">
        <v>231</v>
      </c>
      <c r="C144">
        <v>9835</v>
      </c>
      <c r="D144">
        <v>51728</v>
      </c>
      <c r="E144">
        <v>34080</v>
      </c>
      <c r="F144">
        <v>0.65883080729972165</v>
      </c>
      <c r="G144" t="s">
        <v>248</v>
      </c>
      <c r="H144">
        <v>4.7</v>
      </c>
      <c r="I144">
        <v>230</v>
      </c>
      <c r="J144" t="s">
        <v>247</v>
      </c>
      <c r="K144" t="s">
        <v>81</v>
      </c>
      <c r="L144">
        <v>15</v>
      </c>
    </row>
    <row r="145" spans="1:12" x14ac:dyDescent="0.3">
      <c r="A145" t="s">
        <v>232</v>
      </c>
      <c r="B145" t="s">
        <v>233</v>
      </c>
      <c r="C145">
        <v>9761</v>
      </c>
      <c r="D145">
        <v>14900</v>
      </c>
      <c r="E145">
        <v>11425</v>
      </c>
      <c r="F145">
        <v>0.76677852348993292</v>
      </c>
      <c r="G145" t="s">
        <v>246</v>
      </c>
      <c r="H145">
        <v>2</v>
      </c>
      <c r="I145">
        <v>115</v>
      </c>
      <c r="J145" t="s">
        <v>247</v>
      </c>
      <c r="K145" t="s">
        <v>59</v>
      </c>
      <c r="L145">
        <v>26</v>
      </c>
    </row>
    <row r="146" spans="1:12" x14ac:dyDescent="0.3">
      <c r="A146" t="s">
        <v>232</v>
      </c>
      <c r="B146" t="s">
        <v>234</v>
      </c>
      <c r="C146">
        <v>83721</v>
      </c>
      <c r="D146">
        <v>16700</v>
      </c>
      <c r="E146">
        <v>13240</v>
      </c>
      <c r="F146">
        <v>0.792814371257485</v>
      </c>
      <c r="G146" t="s">
        <v>246</v>
      </c>
      <c r="H146">
        <v>2</v>
      </c>
      <c r="I146">
        <v>115</v>
      </c>
      <c r="J146" t="s">
        <v>247</v>
      </c>
      <c r="K146" t="s">
        <v>59</v>
      </c>
      <c r="L146">
        <v>26</v>
      </c>
    </row>
    <row r="147" spans="1:12" x14ac:dyDescent="0.3">
      <c r="A147" t="s">
        <v>232</v>
      </c>
      <c r="B147" t="s">
        <v>235</v>
      </c>
      <c r="C147">
        <v>51102</v>
      </c>
      <c r="D147">
        <v>21200</v>
      </c>
      <c r="E147">
        <v>16725</v>
      </c>
      <c r="F147">
        <v>0.78891509433962259</v>
      </c>
      <c r="G147" t="s">
        <v>246</v>
      </c>
      <c r="H147">
        <v>1.8</v>
      </c>
      <c r="I147">
        <v>150</v>
      </c>
      <c r="J147" t="s">
        <v>247</v>
      </c>
      <c r="K147" t="s">
        <v>59</v>
      </c>
      <c r="L147">
        <v>27</v>
      </c>
    </row>
    <row r="148" spans="1:12" x14ac:dyDescent="0.3">
      <c r="A148" t="s">
        <v>232</v>
      </c>
      <c r="B148" t="s">
        <v>236</v>
      </c>
      <c r="C148">
        <v>9569</v>
      </c>
      <c r="D148">
        <v>19990</v>
      </c>
      <c r="E148">
        <v>16575</v>
      </c>
      <c r="F148">
        <v>0.82916458229114554</v>
      </c>
      <c r="G148" t="s">
        <v>246</v>
      </c>
      <c r="H148">
        <v>2</v>
      </c>
      <c r="I148">
        <v>115</v>
      </c>
      <c r="J148" t="s">
        <v>247</v>
      </c>
      <c r="K148" t="s">
        <v>59</v>
      </c>
      <c r="L148">
        <v>26</v>
      </c>
    </row>
    <row r="149" spans="1:12" x14ac:dyDescent="0.3">
      <c r="A149" t="s">
        <v>232</v>
      </c>
      <c r="B149" t="s">
        <v>237</v>
      </c>
      <c r="C149">
        <v>5596</v>
      </c>
      <c r="D149">
        <v>17500</v>
      </c>
      <c r="E149">
        <v>13760</v>
      </c>
      <c r="F149">
        <v>0.78628571428571425</v>
      </c>
      <c r="G149" t="s">
        <v>246</v>
      </c>
      <c r="H149">
        <v>2</v>
      </c>
      <c r="I149">
        <v>115</v>
      </c>
      <c r="J149" t="s">
        <v>247</v>
      </c>
      <c r="K149" t="s">
        <v>59</v>
      </c>
      <c r="L149">
        <v>26</v>
      </c>
    </row>
    <row r="150" spans="1:12" x14ac:dyDescent="0.3">
      <c r="A150" t="s">
        <v>232</v>
      </c>
      <c r="B150" t="s">
        <v>238</v>
      </c>
      <c r="C150">
        <v>49463</v>
      </c>
      <c r="D150">
        <v>15900</v>
      </c>
      <c r="E150">
        <v>11986</v>
      </c>
      <c r="F150">
        <v>0.75383647798742137</v>
      </c>
      <c r="G150" t="s">
        <v>246</v>
      </c>
      <c r="H150">
        <v>2</v>
      </c>
      <c r="I150">
        <v>115</v>
      </c>
      <c r="J150" t="s">
        <v>247</v>
      </c>
      <c r="K150" t="s">
        <v>59</v>
      </c>
      <c r="L150">
        <v>26</v>
      </c>
    </row>
    <row r="151" spans="1:12" x14ac:dyDescent="0.3">
      <c r="A151" t="s">
        <v>239</v>
      </c>
      <c r="B151" t="s">
        <v>240</v>
      </c>
      <c r="C151">
        <v>16957</v>
      </c>
      <c r="D151">
        <v>23400</v>
      </c>
      <c r="E151">
        <v>14334</v>
      </c>
      <c r="F151">
        <v>0.61256410256410254</v>
      </c>
      <c r="G151" t="s">
        <v>248</v>
      </c>
      <c r="H151">
        <v>1.9</v>
      </c>
      <c r="I151">
        <v>160</v>
      </c>
      <c r="J151" t="s">
        <v>247</v>
      </c>
      <c r="K151" t="s">
        <v>59</v>
      </c>
      <c r="L151">
        <v>25</v>
      </c>
    </row>
    <row r="152" spans="1:12" x14ac:dyDescent="0.3">
      <c r="A152" t="s">
        <v>239</v>
      </c>
      <c r="B152" t="s">
        <v>241</v>
      </c>
      <c r="C152">
        <v>3545</v>
      </c>
      <c r="D152">
        <v>24400</v>
      </c>
      <c r="E152">
        <v>15252</v>
      </c>
      <c r="F152">
        <v>0.62508196721311471</v>
      </c>
      <c r="G152" t="s">
        <v>248</v>
      </c>
      <c r="H152">
        <v>1.9</v>
      </c>
      <c r="I152">
        <v>160</v>
      </c>
      <c r="J152" t="s">
        <v>247</v>
      </c>
      <c r="K152" t="s">
        <v>59</v>
      </c>
      <c r="L152">
        <v>25</v>
      </c>
    </row>
    <row r="153" spans="1:12" x14ac:dyDescent="0.3">
      <c r="A153" t="s">
        <v>239</v>
      </c>
      <c r="B153" t="s">
        <v>242</v>
      </c>
      <c r="C153">
        <v>15245</v>
      </c>
      <c r="D153">
        <v>27500</v>
      </c>
      <c r="E153">
        <v>18900</v>
      </c>
      <c r="F153">
        <v>0.68727272727272726</v>
      </c>
      <c r="G153" t="s">
        <v>248</v>
      </c>
      <c r="H153">
        <v>2.4</v>
      </c>
      <c r="I153">
        <v>168</v>
      </c>
      <c r="J153" t="s">
        <v>247</v>
      </c>
      <c r="K153" t="s">
        <v>59</v>
      </c>
      <c r="L153">
        <v>25</v>
      </c>
    </row>
    <row r="154" spans="1:12" x14ac:dyDescent="0.3">
      <c r="A154" t="s">
        <v>239</v>
      </c>
      <c r="B154" t="s">
        <v>243</v>
      </c>
      <c r="C154">
        <v>17531</v>
      </c>
      <c r="D154">
        <v>28800</v>
      </c>
      <c r="E154">
        <v>20223</v>
      </c>
      <c r="F154">
        <v>0.70218749999999996</v>
      </c>
      <c r="G154" t="s">
        <v>246</v>
      </c>
      <c r="H154">
        <v>2.4</v>
      </c>
      <c r="I154">
        <v>168</v>
      </c>
      <c r="J154" t="s">
        <v>247</v>
      </c>
      <c r="K154" t="s">
        <v>59</v>
      </c>
      <c r="L154">
        <v>25</v>
      </c>
    </row>
    <row r="155" spans="1:12" x14ac:dyDescent="0.3">
      <c r="A155" t="s">
        <v>239</v>
      </c>
      <c r="B155" t="s">
        <v>244</v>
      </c>
      <c r="C155">
        <v>3493</v>
      </c>
      <c r="D155">
        <v>45500</v>
      </c>
      <c r="E155">
        <v>34175</v>
      </c>
      <c r="F155">
        <v>0.75109890109890109</v>
      </c>
      <c r="G155" t="s">
        <v>246</v>
      </c>
      <c r="H155">
        <v>2.2999999999999998</v>
      </c>
      <c r="I155">
        <v>236</v>
      </c>
      <c r="J155" t="s">
        <v>247</v>
      </c>
      <c r="K155" t="s">
        <v>59</v>
      </c>
      <c r="L155">
        <v>23</v>
      </c>
    </row>
    <row r="156" spans="1:12" x14ac:dyDescent="0.3">
      <c r="A156" t="s">
        <v>239</v>
      </c>
      <c r="B156" t="s">
        <v>245</v>
      </c>
      <c r="C156">
        <v>18969</v>
      </c>
      <c r="D156">
        <v>36000</v>
      </c>
      <c r="E156">
        <v>26403</v>
      </c>
      <c r="F156">
        <v>0.73341666666666672</v>
      </c>
      <c r="G156" t="s">
        <v>246</v>
      </c>
      <c r="H156">
        <v>2.9</v>
      </c>
      <c r="I156">
        <v>201</v>
      </c>
      <c r="J156" t="s">
        <v>247</v>
      </c>
      <c r="K156" t="s">
        <v>59</v>
      </c>
      <c r="L156">
        <v>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5E339-16AA-4420-853C-E6D3C8199F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SUMMARY</vt:lpstr>
      <vt:lpstr>Goal 1 — Sales by Manufacturer</vt:lpstr>
      <vt:lpstr>Goal 2 — Average Price by Vehic</vt:lpstr>
      <vt:lpstr>Goal 3 — Fuel Efficiency by HP </vt:lpstr>
      <vt:lpstr>Goal 4 — Most Expensive Models</vt:lpstr>
      <vt:lpstr>Goal 5 — Highest Resale Value M</vt:lpstr>
      <vt:lpstr>Goal 6 — Retention Classificati</vt:lpstr>
      <vt:lpstr>Conclusions</vt:lpstr>
      <vt:lpstr>Sales_Table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 Boudlal</dc:creator>
  <cp:lastModifiedBy>Abdellah Boudlal</cp:lastModifiedBy>
  <cp:lastPrinted>2026-02-19T16:31:20Z</cp:lastPrinted>
  <dcterms:created xsi:type="dcterms:W3CDTF">2015-06-05T18:17:20Z</dcterms:created>
  <dcterms:modified xsi:type="dcterms:W3CDTF">2026-02-19T19:31:02Z</dcterms:modified>
</cp:coreProperties>
</file>