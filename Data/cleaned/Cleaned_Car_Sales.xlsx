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Repos\Car-Sales-Visualization-Project\data\cleaned\"/>
    </mc:Choice>
  </mc:AlternateContent>
  <xr:revisionPtr revIDLastSave="0" documentId="8_{AD8F494E-8446-4F9B-8072-D9F1783A0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_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<sst xmlns="http://schemas.openxmlformats.org/spreadsheetml/2006/main" count="477" uniqueCount="198">
  <si>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</si>
  <si>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</si>
  <si>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</si>
  <si>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</si>
  <si>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</si>
  <si>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</si>
  <si>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</si>
  <si>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</si>
  <si>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</si>
  <si>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</si>
  <si>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</si>
  <si>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</si>
  <si>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Acura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</si>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</sst>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9999"/>
      <color rgb="FFFFCC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Sales_Table" displayName="Sales_Table" ref="A1:L156" totalsRowShown="0" headerRowDxfId="14" headerRowCellStyle="60% - Accent1">
  <autoFilter ref="A1:L156" xr:uid="{142A1155-8F99-4580-8274-3FFCD265F860}"/>
  <tableColumns count="12">
    <tableColumn id="2" xr3:uid="{0090DD31-AAEF-418B-A6D5-5A47F973884A}" name="Manufacturer" dataDxfId="13" dataCellStyle="60% - Accent2"/>
    <tableColumn id="1" xr3:uid="{1D457C4B-D2B8-4760-9FBD-20980339C812}" name="Model" dataDxfId="12" dataCellStyle="60% - Accent6"/>
    <tableColumn id="4" xr3:uid="{8522711B-6353-4D72-9921-4036DEB24699}" name="Unit Sales" dataDxfId="11"/>
    <tableColumn id="5" xr3:uid="{3F2EFF05-CEC1-43C4-8457-EC0A04BFE37D}" name="Price" dataDxfId="10"/>
    <tableColumn id="6" xr3:uid="{D0C7E9A3-6A78-4834-995F-71A07F7E5FEC}" name="Year Resale Value" dataDxfId="9"/>
    <tableColumn id="7" xr3:uid="{2892AE5C-2583-41F9-9297-9EA4C2895B5F}" name="Retention %" dataDxfId="8">
      <calculatedColumnFormula>SUM(E2/D2)</calculatedColumnFormula>
    </tableColumn>
    <tableColumn id="8" xr3:uid="{40A7E790-705B-474C-BD5E-B93CFDEAAD37}" name="Retention Value" dataDxfId="7">
      <calculatedColumnFormula>IF(F2&gt;69%, "GOOD", "POOR")</calculatedColumnFormula>
    </tableColumn>
    <tableColumn id="9" xr3:uid="{9FD1D782-0EB9-4AC8-9FB6-1F5437BC6100}" name="Engine Size" dataDxfId="6"/>
    <tableColumn id="10" xr3:uid="{97F7DE8D-9589-426B-AA4F-2E3F8BB7A81B}" name="Horsepower" dataDxfId="5"/>
    <tableColumn id="11" xr3:uid="{4CB9C68E-A6F1-497A-9877-E41495059145}" name="HP Level" dataDxfId="4">
      <calculatedColumnFormula array="1">_xlfn.IFS(I2&gt;299,"High HP",I2&gt;99,"Medium HP",I2&lt;100,"Low HP")</calculatedColumnFormula>
    </tableColumn>
    <tableColumn id="3" xr3:uid="{3733B2DD-D65D-439A-9EC2-28F65DC369D7}" name="Vehicle_type" dataDxfId="3"/>
    <tableColumn id="17" xr3:uid="{5136D0F0-2F8F-4D70-995F-CE39B1996127}" name="Fuel Efficiency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6"/>
  <sheetViews>
    <sheetView tabSelected="1" zoomScaleNormal="100" workbookViewId="0">
      <selection activeCell="M1" sqref="M1:M1048576"/>
    </sheetView>
  </sheetViews>
  <sheetFormatPr defaultColWidth="9.109375" defaultRowHeight="14.4" x14ac:dyDescent="0.3"/>
  <cols>
    <col min="1" max="1" width="15.21875" customWidth="1"/>
    <col min="2" max="2" width="15.44140625" bestFit="1" customWidth="1"/>
    <col min="3" max="3" width="20.44140625" bestFit="1" customWidth="1"/>
    <col min="4" max="4" width="12.6640625" style="8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88671875" customWidth="1"/>
    <col min="11" max="11" width="14.88671875" customWidth="1"/>
    <col min="12" max="12" width="14.6640625" customWidth="1"/>
    <col min="13" max="15" width="8.88671875"/>
    <col min="16" max="16" width="11.21875" bestFit="1" customWidth="1"/>
    <col min="17" max="17" width="7.44140625" bestFit="1" customWidth="1"/>
    <col min="18" max="18" width="11.44140625" bestFit="1" customWidth="1"/>
    <col min="19" max="19" width="7.88671875" bestFit="1" customWidth="1"/>
    <col min="20" max="20" width="16.44140625" bestFit="1" customWidth="1"/>
  </cols>
  <sheetData>
    <row r="1" spans="1:16" s="1" customFormat="1" x14ac:dyDescent="0.3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s="3" t="s">
        <v>12</v>
      </c>
      <c r="B2" s="4" t="s">
        <v>13</v>
      </c>
      <c r="C2" s="9">
        <v>16919</v>
      </c>
      <c r="D2" s="10">
        <v>21500</v>
      </c>
      <c r="E2" s="10">
        <v>16360</v>
      </c>
      <c r="F2" s="11">
        <f t="shared" ref="F2:F65" si="0">SUM(E2/D2)</f>
        <v>0.76093023255813952</v>
      </c>
      <c r="G2" s="11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14</v>
      </c>
      <c r="L2" s="5">
        <v>28</v>
      </c>
    </row>
    <row r="3" spans="1:16" x14ac:dyDescent="0.3">
      <c r="A3" s="3" t="s">
        <v>12</v>
      </c>
      <c r="B3" s="4" t="s">
        <v>15</v>
      </c>
      <c r="C3" s="9">
        <v>39384</v>
      </c>
      <c r="D3" s="10">
        <v>28400</v>
      </c>
      <c r="E3" s="10">
        <v>19875</v>
      </c>
      <c r="F3" s="11">
        <f t="shared" si="0"/>
        <v>0.69982394366197187</v>
      </c>
      <c r="G3" s="11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14</v>
      </c>
      <c r="L3" s="5">
        <v>25</v>
      </c>
    </row>
    <row r="4" spans="1:16" x14ac:dyDescent="0.3">
      <c r="A4" s="3" t="s">
        <v>12</v>
      </c>
      <c r="B4" s="4" t="s">
        <v>16</v>
      </c>
      <c r="C4" s="9">
        <v>8588</v>
      </c>
      <c r="D4" s="10">
        <v>42000</v>
      </c>
      <c r="E4" s="10">
        <v>29725</v>
      </c>
      <c r="F4" s="11">
        <f t="shared" si="0"/>
        <v>0.70773809523809528</v>
      </c>
      <c r="G4" s="11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14</v>
      </c>
      <c r="L4" s="5">
        <v>22</v>
      </c>
    </row>
    <row r="5" spans="1:16" x14ac:dyDescent="0.3">
      <c r="A5" s="3" t="s">
        <v>17</v>
      </c>
      <c r="B5" s="4" t="s">
        <v>18</v>
      </c>
      <c r="C5" s="9">
        <v>20397</v>
      </c>
      <c r="D5" s="10">
        <v>23990</v>
      </c>
      <c r="E5" s="10">
        <v>22255</v>
      </c>
      <c r="F5" s="11">
        <f t="shared" si="0"/>
        <v>0.92767819924968742</v>
      </c>
      <c r="G5" s="11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14</v>
      </c>
      <c r="L5" s="5">
        <v>27</v>
      </c>
      <c r="N5" s="1"/>
      <c r="P5" s="12"/>
    </row>
    <row r="6" spans="1:16" x14ac:dyDescent="0.3">
      <c r="A6" s="3" t="s">
        <v>17</v>
      </c>
      <c r="B6" s="4" t="s">
        <v>19</v>
      </c>
      <c r="C6" s="9">
        <v>18780</v>
      </c>
      <c r="D6" s="10">
        <v>33950</v>
      </c>
      <c r="E6" s="10">
        <v>23555</v>
      </c>
      <c r="F6" s="11">
        <f t="shared" si="0"/>
        <v>0.6938144329896907</v>
      </c>
      <c r="G6" s="11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14</v>
      </c>
      <c r="L6" s="5">
        <v>22</v>
      </c>
      <c r="P6" s="12"/>
    </row>
    <row r="7" spans="1:16" x14ac:dyDescent="0.3">
      <c r="A7" s="3" t="s">
        <v>17</v>
      </c>
      <c r="B7" s="4" t="s">
        <v>20</v>
      </c>
      <c r="C7" s="9">
        <v>1380</v>
      </c>
      <c r="D7" s="10">
        <v>62000</v>
      </c>
      <c r="E7" s="10">
        <v>39000</v>
      </c>
      <c r="F7" s="11">
        <f t="shared" si="0"/>
        <v>0.62903225806451613</v>
      </c>
      <c r="G7" s="11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14</v>
      </c>
      <c r="L7" s="5">
        <v>21</v>
      </c>
      <c r="P7" s="12"/>
    </row>
    <row r="8" spans="1:16" x14ac:dyDescent="0.3">
      <c r="A8" s="3" t="s">
        <v>21</v>
      </c>
      <c r="B8" s="4" t="s">
        <v>22</v>
      </c>
      <c r="C8" s="9">
        <v>19747</v>
      </c>
      <c r="D8" s="10">
        <v>26990</v>
      </c>
      <c r="E8" s="10">
        <v>24500</v>
      </c>
      <c r="F8" s="11">
        <f t="shared" si="0"/>
        <v>0.9077436087439793</v>
      </c>
      <c r="G8" s="11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14</v>
      </c>
      <c r="L8" s="5">
        <v>26</v>
      </c>
      <c r="P8" s="12"/>
    </row>
    <row r="9" spans="1:16" x14ac:dyDescent="0.3">
      <c r="A9" s="3" t="s">
        <v>21</v>
      </c>
      <c r="B9" s="4" t="s">
        <v>23</v>
      </c>
      <c r="C9" s="9">
        <v>9231</v>
      </c>
      <c r="D9" s="10">
        <v>33400</v>
      </c>
      <c r="E9" s="10">
        <v>28675</v>
      </c>
      <c r="F9" s="11">
        <f t="shared" si="0"/>
        <v>0.85853293413173648</v>
      </c>
      <c r="G9" s="11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14</v>
      </c>
      <c r="L9" s="5">
        <v>24</v>
      </c>
      <c r="P9" s="12"/>
    </row>
    <row r="10" spans="1:16" x14ac:dyDescent="0.3">
      <c r="A10" s="3" t="s">
        <v>21</v>
      </c>
      <c r="B10" s="4" t="s">
        <v>24</v>
      </c>
      <c r="C10" s="9">
        <v>17527</v>
      </c>
      <c r="D10" s="10">
        <v>38900</v>
      </c>
      <c r="E10" s="10">
        <v>36125</v>
      </c>
      <c r="F10" s="11">
        <f t="shared" si="0"/>
        <v>0.92866323907455017</v>
      </c>
      <c r="G10" s="11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14</v>
      </c>
      <c r="L10" s="5">
        <v>25</v>
      </c>
      <c r="P10" s="12"/>
    </row>
    <row r="11" spans="1:16" x14ac:dyDescent="0.3">
      <c r="A11" s="3" t="s">
        <v>25</v>
      </c>
      <c r="B11" s="4" t="s">
        <v>26</v>
      </c>
      <c r="C11" s="9">
        <v>91561</v>
      </c>
      <c r="D11" s="10">
        <v>21975</v>
      </c>
      <c r="E11" s="10">
        <v>12475</v>
      </c>
      <c r="F11" s="11">
        <f t="shared" si="0"/>
        <v>0.56769055745164965</v>
      </c>
      <c r="G11" s="11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14</v>
      </c>
      <c r="L11" s="5">
        <v>25</v>
      </c>
      <c r="P11" s="12"/>
    </row>
    <row r="12" spans="1:16" x14ac:dyDescent="0.3">
      <c r="A12" s="3" t="s">
        <v>25</v>
      </c>
      <c r="B12" s="4" t="s">
        <v>27</v>
      </c>
      <c r="C12" s="9">
        <v>39350</v>
      </c>
      <c r="D12" s="10">
        <v>25300</v>
      </c>
      <c r="E12" s="10">
        <v>13740</v>
      </c>
      <c r="F12" s="11">
        <f t="shared" si="0"/>
        <v>0.54308300395256914</v>
      </c>
      <c r="G12" s="11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14</v>
      </c>
      <c r="L12" s="5">
        <v>23</v>
      </c>
      <c r="P12" s="12"/>
    </row>
    <row r="13" spans="1:16" x14ac:dyDescent="0.3">
      <c r="A13" s="3" t="s">
        <v>25</v>
      </c>
      <c r="B13" s="4" t="s">
        <v>28</v>
      </c>
      <c r="C13" s="9">
        <v>27851</v>
      </c>
      <c r="D13" s="10">
        <v>31965</v>
      </c>
      <c r="E13" s="10">
        <v>20190</v>
      </c>
      <c r="F13" s="11">
        <f t="shared" si="0"/>
        <v>0.63162834350070385</v>
      </c>
      <c r="G13" s="11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14</v>
      </c>
      <c r="L13" s="5">
        <v>24</v>
      </c>
      <c r="P13" s="12"/>
    </row>
    <row r="14" spans="1:16" x14ac:dyDescent="0.3">
      <c r="A14" s="3" t="s">
        <v>25</v>
      </c>
      <c r="B14" s="4" t="s">
        <v>29</v>
      </c>
      <c r="C14" s="9">
        <v>83257</v>
      </c>
      <c r="D14" s="10">
        <v>27885</v>
      </c>
      <c r="E14" s="10">
        <v>13360</v>
      </c>
      <c r="F14" s="11">
        <f t="shared" si="0"/>
        <v>0.4791106329567868</v>
      </c>
      <c r="G14" s="11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14</v>
      </c>
      <c r="L14" s="5">
        <v>25</v>
      </c>
    </row>
    <row r="15" spans="1:16" x14ac:dyDescent="0.3">
      <c r="A15" s="3" t="s">
        <v>30</v>
      </c>
      <c r="B15" s="4" t="s">
        <v>31</v>
      </c>
      <c r="C15" s="9">
        <v>63729</v>
      </c>
      <c r="D15" s="10">
        <v>39895</v>
      </c>
      <c r="E15" s="10">
        <v>22525</v>
      </c>
      <c r="F15" s="11">
        <f t="shared" si="0"/>
        <v>0.56460709362075445</v>
      </c>
      <c r="G15" s="11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14</v>
      </c>
      <c r="L15" s="5">
        <v>22</v>
      </c>
    </row>
    <row r="16" spans="1:16" x14ac:dyDescent="0.3">
      <c r="A16" s="3" t="s">
        <v>30</v>
      </c>
      <c r="B16" s="4" t="s">
        <v>32</v>
      </c>
      <c r="C16" s="9">
        <v>15943</v>
      </c>
      <c r="D16" s="10">
        <v>44475</v>
      </c>
      <c r="E16" s="10">
        <v>27100</v>
      </c>
      <c r="F16" s="11">
        <f t="shared" si="0"/>
        <v>0.60933108487914556</v>
      </c>
      <c r="G16" s="11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14</v>
      </c>
      <c r="L16" s="5">
        <v>22</v>
      </c>
      <c r="O16" s="12"/>
    </row>
    <row r="17" spans="1:19" x14ac:dyDescent="0.3">
      <c r="A17" s="3" t="s">
        <v>30</v>
      </c>
      <c r="B17" s="4" t="s">
        <v>33</v>
      </c>
      <c r="C17" s="9">
        <v>6536</v>
      </c>
      <c r="D17" s="10">
        <v>39665</v>
      </c>
      <c r="E17" s="10">
        <v>25725</v>
      </c>
      <c r="F17" s="11">
        <f t="shared" si="0"/>
        <v>0.6485566620446237</v>
      </c>
      <c r="G17" s="11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14</v>
      </c>
      <c r="L17" s="5">
        <v>22</v>
      </c>
    </row>
    <row r="18" spans="1:19" x14ac:dyDescent="0.3">
      <c r="A18" s="3" t="s">
        <v>30</v>
      </c>
      <c r="B18" s="4" t="s">
        <v>34</v>
      </c>
      <c r="C18" s="9">
        <v>11185</v>
      </c>
      <c r="D18" s="10">
        <v>31010</v>
      </c>
      <c r="E18" s="10">
        <v>18225</v>
      </c>
      <c r="F18" s="11">
        <f t="shared" si="0"/>
        <v>0.58771364076104482</v>
      </c>
      <c r="G18" s="11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14</v>
      </c>
      <c r="L18" s="5">
        <v>22</v>
      </c>
    </row>
    <row r="19" spans="1:19" x14ac:dyDescent="0.3">
      <c r="A19" s="3" t="s">
        <v>30</v>
      </c>
      <c r="B19" s="4" t="s">
        <v>35</v>
      </c>
      <c r="C19" s="9">
        <v>14785</v>
      </c>
      <c r="D19" s="10">
        <v>46225</v>
      </c>
      <c r="E19" s="10">
        <v>31245</v>
      </c>
      <c r="F19" s="11">
        <f t="shared" si="0"/>
        <v>0.67593293672255272</v>
      </c>
      <c r="G19" s="11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36</v>
      </c>
      <c r="L19" s="5">
        <v>15</v>
      </c>
    </row>
    <row r="20" spans="1:19" x14ac:dyDescent="0.3">
      <c r="A20" s="3" t="s">
        <v>37</v>
      </c>
      <c r="B20" s="4" t="s">
        <v>38</v>
      </c>
      <c r="C20" s="9">
        <v>145519</v>
      </c>
      <c r="D20" s="10">
        <v>13260</v>
      </c>
      <c r="E20" s="10">
        <v>9250</v>
      </c>
      <c r="F20" s="11">
        <f t="shared" si="0"/>
        <v>0.69758672699849167</v>
      </c>
      <c r="G20" s="11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14</v>
      </c>
      <c r="L20" s="5">
        <v>27</v>
      </c>
    </row>
    <row r="21" spans="1:19" x14ac:dyDescent="0.3">
      <c r="A21" s="3" t="s">
        <v>37</v>
      </c>
      <c r="B21" s="4" t="s">
        <v>39</v>
      </c>
      <c r="C21" s="9">
        <v>135126</v>
      </c>
      <c r="D21" s="10">
        <v>16535</v>
      </c>
      <c r="E21" s="10">
        <v>11225</v>
      </c>
      <c r="F21" s="11">
        <f t="shared" si="0"/>
        <v>0.67886301784094349</v>
      </c>
      <c r="G21" s="11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14</v>
      </c>
      <c r="L21" s="5">
        <v>25</v>
      </c>
      <c r="O21" s="1"/>
      <c r="P21" s="1"/>
    </row>
    <row r="22" spans="1:19" x14ac:dyDescent="0.3">
      <c r="A22" s="3" t="s">
        <v>37</v>
      </c>
      <c r="B22" s="4" t="s">
        <v>40</v>
      </c>
      <c r="C22" s="9">
        <v>24629</v>
      </c>
      <c r="D22" s="10">
        <v>18890</v>
      </c>
      <c r="E22" s="10">
        <v>10310</v>
      </c>
      <c r="F22" s="11">
        <f t="shared" si="0"/>
        <v>0.54579142403388037</v>
      </c>
      <c r="G22" s="11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14</v>
      </c>
      <c r="L22" s="5">
        <v>25</v>
      </c>
      <c r="Q22" s="13"/>
      <c r="R22" s="13"/>
      <c r="S22" s="13"/>
    </row>
    <row r="23" spans="1:19" x14ac:dyDescent="0.3">
      <c r="A23" s="3" t="s">
        <v>37</v>
      </c>
      <c r="B23" s="4" t="s">
        <v>41</v>
      </c>
      <c r="C23" s="9">
        <v>42593</v>
      </c>
      <c r="D23" s="10">
        <v>19390</v>
      </c>
      <c r="E23" s="10">
        <v>11525</v>
      </c>
      <c r="F23" s="11">
        <f t="shared" si="0"/>
        <v>0.59437854564208359</v>
      </c>
      <c r="G23" s="11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14</v>
      </c>
      <c r="L23" s="5">
        <v>27</v>
      </c>
    </row>
    <row r="24" spans="1:19" x14ac:dyDescent="0.3">
      <c r="A24" s="3" t="s">
        <v>37</v>
      </c>
      <c r="B24" s="4" t="s">
        <v>42</v>
      </c>
      <c r="C24" s="9">
        <v>26402</v>
      </c>
      <c r="D24" s="10">
        <v>24340</v>
      </c>
      <c r="E24" s="10">
        <v>13025</v>
      </c>
      <c r="F24" s="11">
        <f t="shared" si="0"/>
        <v>0.53512736236647496</v>
      </c>
      <c r="G24" s="11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14</v>
      </c>
      <c r="L24" s="5">
        <v>25</v>
      </c>
    </row>
    <row r="25" spans="1:19" x14ac:dyDescent="0.3">
      <c r="A25" s="3" t="s">
        <v>37</v>
      </c>
      <c r="B25" s="4" t="s">
        <v>43</v>
      </c>
      <c r="C25" s="9">
        <v>17947</v>
      </c>
      <c r="D25" s="10">
        <v>55705</v>
      </c>
      <c r="E25" s="10">
        <v>36225</v>
      </c>
      <c r="F25" s="11">
        <f t="shared" si="0"/>
        <v>0.65030069114083111</v>
      </c>
      <c r="G25" s="11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14</v>
      </c>
      <c r="L25" s="5">
        <v>22</v>
      </c>
    </row>
    <row r="26" spans="1:19" x14ac:dyDescent="0.3">
      <c r="A26" s="3" t="s">
        <v>37</v>
      </c>
      <c r="B26" s="4" t="s">
        <v>44</v>
      </c>
      <c r="C26" s="9">
        <v>32299</v>
      </c>
      <c r="D26" s="10">
        <v>13960</v>
      </c>
      <c r="E26" s="10">
        <v>9125</v>
      </c>
      <c r="F26" s="11">
        <f t="shared" si="0"/>
        <v>0.65365329512893988</v>
      </c>
      <c r="G26" s="11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14</v>
      </c>
      <c r="L26" s="5">
        <v>33</v>
      </c>
    </row>
    <row r="27" spans="1:19" x14ac:dyDescent="0.3">
      <c r="A27" s="3" t="s">
        <v>37</v>
      </c>
      <c r="B27" s="4" t="s">
        <v>45</v>
      </c>
      <c r="C27" s="9">
        <v>21855</v>
      </c>
      <c r="D27" s="10">
        <v>9235</v>
      </c>
      <c r="E27" s="10">
        <v>5160</v>
      </c>
      <c r="F27" s="11">
        <f t="shared" si="0"/>
        <v>0.55874390904168925</v>
      </c>
      <c r="G27" s="11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14</v>
      </c>
      <c r="L27" s="5">
        <v>45</v>
      </c>
    </row>
    <row r="28" spans="1:19" x14ac:dyDescent="0.3">
      <c r="A28" s="3" t="s">
        <v>37</v>
      </c>
      <c r="B28" s="4" t="s">
        <v>46</v>
      </c>
      <c r="C28" s="9">
        <v>107995</v>
      </c>
      <c r="D28" s="10">
        <v>18890</v>
      </c>
      <c r="E28" s="10">
        <v>11550</v>
      </c>
      <c r="F28" s="11">
        <f t="shared" si="0"/>
        <v>0.61143462149285333</v>
      </c>
      <c r="G28" s="11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14</v>
      </c>
      <c r="L28" s="5">
        <v>27</v>
      </c>
    </row>
    <row r="29" spans="1:19" x14ac:dyDescent="0.3">
      <c r="A29" s="3" t="s">
        <v>47</v>
      </c>
      <c r="B29" s="4" t="s">
        <v>48</v>
      </c>
      <c r="C29" s="9">
        <v>7854</v>
      </c>
      <c r="D29" s="10">
        <v>19840</v>
      </c>
      <c r="E29" s="10">
        <v>12360</v>
      </c>
      <c r="F29" s="11">
        <f t="shared" si="0"/>
        <v>0.62298387096774188</v>
      </c>
      <c r="G29" s="11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14</v>
      </c>
      <c r="L29" s="5">
        <v>24</v>
      </c>
    </row>
    <row r="30" spans="1:19" x14ac:dyDescent="0.3">
      <c r="A30" s="3" t="s">
        <v>47</v>
      </c>
      <c r="B30" s="4" t="s">
        <v>49</v>
      </c>
      <c r="C30" s="9">
        <v>32775</v>
      </c>
      <c r="D30" s="10">
        <v>24495</v>
      </c>
      <c r="E30" s="10">
        <v>14180</v>
      </c>
      <c r="F30" s="11">
        <f t="shared" si="0"/>
        <v>0.57889365176566643</v>
      </c>
      <c r="G30" s="11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14</v>
      </c>
      <c r="L30" s="5">
        <v>24</v>
      </c>
    </row>
    <row r="31" spans="1:19" x14ac:dyDescent="0.3">
      <c r="A31" s="3" t="s">
        <v>47</v>
      </c>
      <c r="B31" s="4" t="s">
        <v>50</v>
      </c>
      <c r="C31" s="9">
        <v>31148</v>
      </c>
      <c r="D31" s="10">
        <v>22245</v>
      </c>
      <c r="E31" s="10">
        <v>13725</v>
      </c>
      <c r="F31" s="11">
        <f t="shared" si="0"/>
        <v>0.61699258260283207</v>
      </c>
      <c r="G31" s="11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14</v>
      </c>
      <c r="L31" s="5">
        <v>26</v>
      </c>
    </row>
    <row r="32" spans="1:19" x14ac:dyDescent="0.3">
      <c r="A32" s="3" t="s">
        <v>47</v>
      </c>
      <c r="B32" s="4" t="s">
        <v>51</v>
      </c>
      <c r="C32" s="9">
        <v>32305.999999999996</v>
      </c>
      <c r="D32" s="10">
        <v>16480</v>
      </c>
      <c r="E32" s="10">
        <v>12640</v>
      </c>
      <c r="F32" s="11">
        <f t="shared" si="0"/>
        <v>0.76699029126213591</v>
      </c>
      <c r="G32" s="11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14</v>
      </c>
      <c r="L32" s="5">
        <v>27</v>
      </c>
    </row>
    <row r="33" spans="1:12" x14ac:dyDescent="0.3">
      <c r="A33" s="3" t="s">
        <v>47</v>
      </c>
      <c r="B33" s="4" t="s">
        <v>52</v>
      </c>
      <c r="C33" s="9">
        <v>13462</v>
      </c>
      <c r="D33" s="10">
        <v>28340</v>
      </c>
      <c r="E33" s="10">
        <v>17325</v>
      </c>
      <c r="F33" s="11">
        <f t="shared" si="0"/>
        <v>0.61132674664784759</v>
      </c>
      <c r="G33" s="11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14</v>
      </c>
      <c r="L33" s="5">
        <v>23</v>
      </c>
    </row>
    <row r="34" spans="1:12" x14ac:dyDescent="0.3">
      <c r="A34" s="3" t="s">
        <v>47</v>
      </c>
      <c r="B34" s="4" t="s">
        <v>53</v>
      </c>
      <c r="C34" s="9">
        <v>30696</v>
      </c>
      <c r="D34" s="10">
        <v>29185</v>
      </c>
      <c r="E34" s="10">
        <v>18425</v>
      </c>
      <c r="F34" s="11">
        <f t="shared" si="0"/>
        <v>0.63131745759808122</v>
      </c>
      <c r="G34" s="11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14</v>
      </c>
      <c r="L34" s="5">
        <v>23</v>
      </c>
    </row>
    <row r="35" spans="1:12" x14ac:dyDescent="0.3">
      <c r="A35" s="3" t="s">
        <v>54</v>
      </c>
      <c r="B35" s="4" t="s">
        <v>55</v>
      </c>
      <c r="C35" s="9">
        <v>76034</v>
      </c>
      <c r="D35" s="10">
        <v>12640</v>
      </c>
      <c r="E35" s="10">
        <v>7750</v>
      </c>
      <c r="F35" s="11">
        <f t="shared" si="0"/>
        <v>0.61313291139240511</v>
      </c>
      <c r="G35" s="11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14</v>
      </c>
      <c r="L35" s="5">
        <v>29</v>
      </c>
    </row>
    <row r="36" spans="1:12" x14ac:dyDescent="0.3">
      <c r="A36" s="3" t="s">
        <v>54</v>
      </c>
      <c r="B36" s="4" t="s">
        <v>56</v>
      </c>
      <c r="C36" s="9">
        <v>4734</v>
      </c>
      <c r="D36" s="10">
        <v>19045</v>
      </c>
      <c r="E36" s="10">
        <v>12545</v>
      </c>
      <c r="F36" s="11">
        <f t="shared" si="0"/>
        <v>0.65870307167235498</v>
      </c>
      <c r="G36" s="11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14</v>
      </c>
      <c r="L36" s="5">
        <v>24</v>
      </c>
    </row>
    <row r="37" spans="1:12" x14ac:dyDescent="0.3">
      <c r="A37" s="3" t="s">
        <v>54</v>
      </c>
      <c r="B37" s="4" t="s">
        <v>57</v>
      </c>
      <c r="C37" s="9">
        <v>71186</v>
      </c>
      <c r="D37" s="10">
        <v>20230</v>
      </c>
      <c r="E37" s="10">
        <v>10185</v>
      </c>
      <c r="F37" s="11">
        <f t="shared" si="0"/>
        <v>0.5034602076124568</v>
      </c>
      <c r="G37" s="11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14</v>
      </c>
      <c r="L37" s="5">
        <v>24</v>
      </c>
    </row>
    <row r="38" spans="1:12" x14ac:dyDescent="0.3">
      <c r="A38" s="3" t="s">
        <v>54</v>
      </c>
      <c r="B38" s="4" t="s">
        <v>58</v>
      </c>
      <c r="C38" s="9">
        <v>88028</v>
      </c>
      <c r="D38" s="10">
        <v>22505</v>
      </c>
      <c r="E38" s="10">
        <v>12275</v>
      </c>
      <c r="F38" s="11">
        <f t="shared" si="0"/>
        <v>0.54543434792268386</v>
      </c>
      <c r="G38" s="11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14</v>
      </c>
      <c r="L38" s="5">
        <v>22</v>
      </c>
    </row>
    <row r="39" spans="1:12" x14ac:dyDescent="0.3">
      <c r="A39" s="3" t="s">
        <v>54</v>
      </c>
      <c r="B39" s="4" t="s">
        <v>59</v>
      </c>
      <c r="C39" s="9">
        <v>916</v>
      </c>
      <c r="D39" s="10">
        <v>69725</v>
      </c>
      <c r="E39" s="10">
        <v>58470</v>
      </c>
      <c r="F39" s="11">
        <f t="shared" si="0"/>
        <v>0.83858013624955186</v>
      </c>
      <c r="G39" s="11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14</v>
      </c>
      <c r="L39" s="5">
        <v>16</v>
      </c>
    </row>
    <row r="40" spans="1:12" x14ac:dyDescent="0.3">
      <c r="A40" s="3" t="s">
        <v>54</v>
      </c>
      <c r="B40" s="4" t="s">
        <v>60</v>
      </c>
      <c r="C40" s="9">
        <v>227061</v>
      </c>
      <c r="D40" s="10">
        <v>19460</v>
      </c>
      <c r="E40" s="10">
        <v>15060</v>
      </c>
      <c r="F40" s="11">
        <f t="shared" si="0"/>
        <v>0.77389516957862281</v>
      </c>
      <c r="G40" s="11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36</v>
      </c>
      <c r="L40" s="5">
        <v>17</v>
      </c>
    </row>
    <row r="41" spans="1:12" x14ac:dyDescent="0.3">
      <c r="A41" s="3" t="s">
        <v>54</v>
      </c>
      <c r="B41" s="4" t="s">
        <v>61</v>
      </c>
      <c r="C41" s="9">
        <v>16767</v>
      </c>
      <c r="D41" s="10">
        <v>21315</v>
      </c>
      <c r="E41" s="10">
        <v>15510</v>
      </c>
      <c r="F41" s="11">
        <f t="shared" si="0"/>
        <v>0.72765657987332866</v>
      </c>
      <c r="G41" s="11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36</v>
      </c>
      <c r="L41" s="5">
        <v>15</v>
      </c>
    </row>
    <row r="42" spans="1:12" x14ac:dyDescent="0.3">
      <c r="A42" s="3" t="s">
        <v>54</v>
      </c>
      <c r="B42" s="4" t="s">
        <v>62</v>
      </c>
      <c r="C42" s="9">
        <v>31038</v>
      </c>
      <c r="D42" s="10">
        <v>18575</v>
      </c>
      <c r="E42" s="10">
        <v>13425</v>
      </c>
      <c r="F42" s="11">
        <f t="shared" si="0"/>
        <v>0.7227456258411844</v>
      </c>
      <c r="G42" s="11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36</v>
      </c>
      <c r="L42" s="5">
        <v>16</v>
      </c>
    </row>
    <row r="43" spans="1:12" x14ac:dyDescent="0.3">
      <c r="A43" s="3" t="s">
        <v>54</v>
      </c>
      <c r="B43" s="4" t="s">
        <v>63</v>
      </c>
      <c r="C43" s="9">
        <v>111313</v>
      </c>
      <c r="D43" s="10">
        <v>16980</v>
      </c>
      <c r="E43" s="10">
        <v>11260</v>
      </c>
      <c r="F43" s="11">
        <f t="shared" si="0"/>
        <v>0.66313309776207308</v>
      </c>
      <c r="G43" s="11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36</v>
      </c>
      <c r="L43" s="5">
        <v>19</v>
      </c>
    </row>
    <row r="44" spans="1:12" x14ac:dyDescent="0.3">
      <c r="A44" s="3" t="s">
        <v>54</v>
      </c>
      <c r="B44" s="4" t="s">
        <v>64</v>
      </c>
      <c r="C44" s="9">
        <v>101323</v>
      </c>
      <c r="D44" s="10">
        <v>26310</v>
      </c>
      <c r="E44" s="10">
        <v>21436</v>
      </c>
      <c r="F44" s="11">
        <f t="shared" si="0"/>
        <v>0.81474724439376667</v>
      </c>
      <c r="G44" s="11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36</v>
      </c>
      <c r="L44" s="5">
        <v>17</v>
      </c>
    </row>
    <row r="45" spans="1:12" x14ac:dyDescent="0.3">
      <c r="A45" s="3" t="s">
        <v>54</v>
      </c>
      <c r="B45" s="4" t="s">
        <v>65</v>
      </c>
      <c r="C45" s="9">
        <v>181749</v>
      </c>
      <c r="D45" s="10">
        <v>19565</v>
      </c>
      <c r="E45" s="10">
        <v>12025</v>
      </c>
      <c r="F45" s="11">
        <f t="shared" si="0"/>
        <v>0.61461794019933558</v>
      </c>
      <c r="G45" s="11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36</v>
      </c>
      <c r="L45" s="5">
        <v>24</v>
      </c>
    </row>
    <row r="46" spans="1:12" x14ac:dyDescent="0.3">
      <c r="A46" s="3" t="s">
        <v>66</v>
      </c>
      <c r="B46" s="4" t="s">
        <v>67</v>
      </c>
      <c r="C46" s="9">
        <v>70227</v>
      </c>
      <c r="D46" s="10">
        <v>12070</v>
      </c>
      <c r="E46" s="10">
        <v>7425</v>
      </c>
      <c r="F46" s="11">
        <f t="shared" si="0"/>
        <v>0.61516155758077884</v>
      </c>
      <c r="G46" s="11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14</v>
      </c>
      <c r="L46" s="5">
        <v>30</v>
      </c>
    </row>
    <row r="47" spans="1:12" x14ac:dyDescent="0.3">
      <c r="A47" s="3" t="s">
        <v>66</v>
      </c>
      <c r="B47" s="4" t="s">
        <v>68</v>
      </c>
      <c r="C47" s="9">
        <v>113369</v>
      </c>
      <c r="D47" s="10">
        <v>21560</v>
      </c>
      <c r="E47" s="10">
        <v>12760</v>
      </c>
      <c r="F47" s="11">
        <f t="shared" si="0"/>
        <v>0.59183673469387754</v>
      </c>
      <c r="G47" s="11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14</v>
      </c>
      <c r="L47" s="5">
        <v>24</v>
      </c>
    </row>
    <row r="48" spans="1:12" x14ac:dyDescent="0.3">
      <c r="A48" s="3" t="s">
        <v>66</v>
      </c>
      <c r="B48" s="4" t="s">
        <v>69</v>
      </c>
      <c r="C48" s="9">
        <v>35068</v>
      </c>
      <c r="D48" s="10">
        <v>17035</v>
      </c>
      <c r="E48" s="10">
        <v>8835</v>
      </c>
      <c r="F48" s="11">
        <f t="shared" si="0"/>
        <v>0.5186380980334605</v>
      </c>
      <c r="G48" s="11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14</v>
      </c>
      <c r="L48" s="5">
        <v>25</v>
      </c>
    </row>
    <row r="49" spans="1:12" x14ac:dyDescent="0.3">
      <c r="A49" s="3" t="s">
        <v>66</v>
      </c>
      <c r="B49" s="4" t="s">
        <v>70</v>
      </c>
      <c r="C49" s="9">
        <v>245815</v>
      </c>
      <c r="D49" s="10">
        <v>17885</v>
      </c>
      <c r="E49" s="10">
        <v>10055</v>
      </c>
      <c r="F49" s="11">
        <f t="shared" si="0"/>
        <v>0.56220296337713171</v>
      </c>
      <c r="G49" s="11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14</v>
      </c>
      <c r="L49" s="5">
        <v>24</v>
      </c>
    </row>
    <row r="50" spans="1:12" x14ac:dyDescent="0.3">
      <c r="A50" s="3" t="s">
        <v>66</v>
      </c>
      <c r="B50" s="4" t="s">
        <v>71</v>
      </c>
      <c r="C50" s="9">
        <v>175670</v>
      </c>
      <c r="D50" s="10">
        <v>12315</v>
      </c>
      <c r="E50" s="10">
        <v>8670</v>
      </c>
      <c r="F50" s="11">
        <f t="shared" si="0"/>
        <v>0.7040194884287454</v>
      </c>
      <c r="G50" s="11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14</v>
      </c>
      <c r="L50" s="5">
        <v>30</v>
      </c>
    </row>
    <row r="51" spans="1:12" x14ac:dyDescent="0.3">
      <c r="A51" s="3" t="s">
        <v>66</v>
      </c>
      <c r="B51" s="4" t="s">
        <v>72</v>
      </c>
      <c r="C51" s="9">
        <v>63403</v>
      </c>
      <c r="D51" s="10">
        <v>22195</v>
      </c>
      <c r="E51" s="10">
        <v>14210</v>
      </c>
      <c r="F51" s="11">
        <f t="shared" si="0"/>
        <v>0.64023428700157692</v>
      </c>
      <c r="G51" s="11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14</v>
      </c>
      <c r="L51" s="5">
        <v>21</v>
      </c>
    </row>
    <row r="52" spans="1:12" x14ac:dyDescent="0.3">
      <c r="A52" s="3" t="s">
        <v>66</v>
      </c>
      <c r="B52" s="4" t="s">
        <v>73</v>
      </c>
      <c r="C52" s="9">
        <v>276747</v>
      </c>
      <c r="D52" s="10">
        <v>31930</v>
      </c>
      <c r="E52" s="10">
        <v>16640</v>
      </c>
      <c r="F52" s="11">
        <f t="shared" si="0"/>
        <v>0.52113999373629816</v>
      </c>
      <c r="G52" s="11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36</v>
      </c>
      <c r="L52" s="5">
        <v>19</v>
      </c>
    </row>
    <row r="53" spans="1:12" x14ac:dyDescent="0.3">
      <c r="A53" s="3" t="s">
        <v>66</v>
      </c>
      <c r="B53" s="4" t="s">
        <v>74</v>
      </c>
      <c r="C53" s="9">
        <v>155787</v>
      </c>
      <c r="D53" s="10">
        <v>21410</v>
      </c>
      <c r="E53" s="10">
        <v>13175</v>
      </c>
      <c r="F53" s="11">
        <f t="shared" si="0"/>
        <v>0.6153666510976179</v>
      </c>
      <c r="G53" s="11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36</v>
      </c>
      <c r="L53" s="5">
        <v>21</v>
      </c>
    </row>
    <row r="54" spans="1:12" x14ac:dyDescent="0.3">
      <c r="A54" s="3" t="s">
        <v>66</v>
      </c>
      <c r="B54" s="4" t="s">
        <v>75</v>
      </c>
      <c r="C54" s="9">
        <v>125338</v>
      </c>
      <c r="D54" s="10">
        <v>36135</v>
      </c>
      <c r="E54" s="10">
        <v>23575</v>
      </c>
      <c r="F54" s="11">
        <f t="shared" si="0"/>
        <v>0.65241455652414559</v>
      </c>
      <c r="G54" s="11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36</v>
      </c>
      <c r="L54" s="5">
        <v>16</v>
      </c>
    </row>
    <row r="55" spans="1:12" x14ac:dyDescent="0.3">
      <c r="A55" s="3" t="s">
        <v>66</v>
      </c>
      <c r="B55" s="4" t="s">
        <v>76</v>
      </c>
      <c r="C55" s="9">
        <v>220650</v>
      </c>
      <c r="D55" s="10">
        <v>12050</v>
      </c>
      <c r="E55" s="10">
        <v>7850</v>
      </c>
      <c r="F55" s="11">
        <f t="shared" si="0"/>
        <v>0.65145228215767637</v>
      </c>
      <c r="G55" s="11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36</v>
      </c>
      <c r="L55" s="5">
        <v>23</v>
      </c>
    </row>
    <row r="56" spans="1:12" x14ac:dyDescent="0.3">
      <c r="A56" s="3" t="s">
        <v>66</v>
      </c>
      <c r="B56" s="4" t="s">
        <v>77</v>
      </c>
      <c r="C56" s="9">
        <v>540561</v>
      </c>
      <c r="D56" s="10">
        <v>26935</v>
      </c>
      <c r="E56" s="10">
        <v>15075</v>
      </c>
      <c r="F56" s="11">
        <f t="shared" si="0"/>
        <v>0.55968071282717657</v>
      </c>
      <c r="G56" s="11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36</v>
      </c>
      <c r="L56" s="5">
        <v>18</v>
      </c>
    </row>
    <row r="57" spans="1:12" x14ac:dyDescent="0.3">
      <c r="A57" s="3" t="s">
        <v>78</v>
      </c>
      <c r="B57" s="4" t="s">
        <v>79</v>
      </c>
      <c r="C57" s="9">
        <v>199685</v>
      </c>
      <c r="D57" s="10">
        <v>12885</v>
      </c>
      <c r="E57" s="10">
        <v>9850</v>
      </c>
      <c r="F57" s="11">
        <f t="shared" si="0"/>
        <v>0.76445479239425684</v>
      </c>
      <c r="G57" s="11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14</v>
      </c>
      <c r="L57" s="5">
        <v>32</v>
      </c>
    </row>
    <row r="58" spans="1:12" x14ac:dyDescent="0.3">
      <c r="A58" s="3" t="s">
        <v>78</v>
      </c>
      <c r="B58" s="4" t="s">
        <v>80</v>
      </c>
      <c r="C58" s="9">
        <v>230902</v>
      </c>
      <c r="D58" s="10">
        <v>15350</v>
      </c>
      <c r="E58" s="10">
        <v>13210</v>
      </c>
      <c r="F58" s="11">
        <f t="shared" si="0"/>
        <v>0.86058631921824102</v>
      </c>
      <c r="G58" s="11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14</v>
      </c>
      <c r="L58" s="5">
        <v>27</v>
      </c>
    </row>
    <row r="59" spans="1:12" x14ac:dyDescent="0.3">
      <c r="A59" s="3" t="s">
        <v>78</v>
      </c>
      <c r="B59" s="4" t="s">
        <v>81</v>
      </c>
      <c r="C59" s="9">
        <v>73203</v>
      </c>
      <c r="D59" s="10">
        <v>20550</v>
      </c>
      <c r="E59" s="10">
        <v>17710</v>
      </c>
      <c r="F59" s="11">
        <f t="shared" si="0"/>
        <v>0.8618004866180049</v>
      </c>
      <c r="G59" s="11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36</v>
      </c>
      <c r="L59" s="5">
        <v>24</v>
      </c>
    </row>
    <row r="60" spans="1:12" x14ac:dyDescent="0.3">
      <c r="A60" s="3" t="s">
        <v>78</v>
      </c>
      <c r="B60" s="4" t="s">
        <v>82</v>
      </c>
      <c r="C60" s="9">
        <v>12855</v>
      </c>
      <c r="D60" s="10">
        <v>26600</v>
      </c>
      <c r="E60" s="10">
        <v>17525</v>
      </c>
      <c r="F60" s="11">
        <f t="shared" si="0"/>
        <v>0.65883458646616544</v>
      </c>
      <c r="G60" s="11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36</v>
      </c>
      <c r="L60" s="5">
        <v>19</v>
      </c>
    </row>
    <row r="61" spans="1:12" x14ac:dyDescent="0.3">
      <c r="A61" s="3" t="s">
        <v>78</v>
      </c>
      <c r="B61" s="4" t="s">
        <v>83</v>
      </c>
      <c r="C61" s="9">
        <v>76029</v>
      </c>
      <c r="D61" s="10">
        <v>26000</v>
      </c>
      <c r="E61" s="10">
        <v>19490</v>
      </c>
      <c r="F61" s="11">
        <f t="shared" si="0"/>
        <v>0.74961538461538457</v>
      </c>
      <c r="G61" s="11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36</v>
      </c>
      <c r="L61" s="5">
        <v>23</v>
      </c>
    </row>
    <row r="62" spans="1:12" x14ac:dyDescent="0.3">
      <c r="A62" s="3" t="s">
        <v>84</v>
      </c>
      <c r="B62" s="4" t="s">
        <v>85</v>
      </c>
      <c r="C62" s="9">
        <v>41184</v>
      </c>
      <c r="D62" s="10">
        <v>9699</v>
      </c>
      <c r="E62" s="10">
        <v>5860</v>
      </c>
      <c r="F62" s="11">
        <f t="shared" si="0"/>
        <v>0.6041859985565522</v>
      </c>
      <c r="G62" s="11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14</v>
      </c>
      <c r="L62" s="5">
        <v>31</v>
      </c>
    </row>
    <row r="63" spans="1:12" x14ac:dyDescent="0.3">
      <c r="A63" s="3" t="s">
        <v>84</v>
      </c>
      <c r="B63" s="4" t="s">
        <v>86</v>
      </c>
      <c r="C63" s="9">
        <v>66692</v>
      </c>
      <c r="D63" s="10">
        <v>11799</v>
      </c>
      <c r="E63" s="10">
        <v>7825</v>
      </c>
      <c r="F63" s="11">
        <f t="shared" si="0"/>
        <v>0.66319179591490807</v>
      </c>
      <c r="G63" s="11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14</v>
      </c>
      <c r="L63" s="5">
        <v>27</v>
      </c>
    </row>
    <row r="64" spans="1:12" x14ac:dyDescent="0.3">
      <c r="A64" s="3" t="s">
        <v>84</v>
      </c>
      <c r="B64" s="4" t="s">
        <v>87</v>
      </c>
      <c r="C64" s="9">
        <v>29450</v>
      </c>
      <c r="D64" s="10">
        <v>14999</v>
      </c>
      <c r="E64" s="10">
        <v>8910</v>
      </c>
      <c r="F64" s="11">
        <f t="shared" si="0"/>
        <v>0.59403960264017597</v>
      </c>
      <c r="G64" s="11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14</v>
      </c>
      <c r="L64" s="5">
        <v>25</v>
      </c>
    </row>
    <row r="65" spans="1:12" x14ac:dyDescent="0.3">
      <c r="A65" s="3" t="s">
        <v>88</v>
      </c>
      <c r="B65" s="4" t="s">
        <v>89</v>
      </c>
      <c r="C65" s="9">
        <v>23713</v>
      </c>
      <c r="D65" s="10">
        <v>29465</v>
      </c>
      <c r="E65" s="10">
        <v>19690</v>
      </c>
      <c r="F65" s="11">
        <f t="shared" si="0"/>
        <v>0.66825046665535381</v>
      </c>
      <c r="G65" s="11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14</v>
      </c>
      <c r="L65" s="5">
        <v>25</v>
      </c>
    </row>
    <row r="66" spans="1:12" x14ac:dyDescent="0.3">
      <c r="A66" s="3" t="s">
        <v>90</v>
      </c>
      <c r="B66" s="4" t="s">
        <v>91</v>
      </c>
      <c r="C66" s="9">
        <v>15467</v>
      </c>
      <c r="D66" s="10">
        <v>42800</v>
      </c>
      <c r="E66" s="10">
        <v>33219</v>
      </c>
      <c r="F66" s="11">
        <f t="shared" ref="F66:F129" si="2">SUM(E66/D66)</f>
        <v>0.77614485981308412</v>
      </c>
      <c r="G66" s="11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14</v>
      </c>
      <c r="L66" s="5">
        <v>21</v>
      </c>
    </row>
    <row r="67" spans="1:12" x14ac:dyDescent="0.3">
      <c r="A67" s="3" t="s">
        <v>92</v>
      </c>
      <c r="B67" s="4" t="s">
        <v>93</v>
      </c>
      <c r="C67" s="9">
        <v>55557</v>
      </c>
      <c r="D67" s="10">
        <v>14460</v>
      </c>
      <c r="E67" s="10">
        <v>13475</v>
      </c>
      <c r="F67" s="11">
        <f t="shared" si="2"/>
        <v>0.931881051175657</v>
      </c>
      <c r="G67" s="11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36</v>
      </c>
      <c r="L67" s="5">
        <v>17</v>
      </c>
    </row>
    <row r="68" spans="1:12" x14ac:dyDescent="0.3">
      <c r="A68" s="3" t="s">
        <v>92</v>
      </c>
      <c r="B68" s="4" t="s">
        <v>94</v>
      </c>
      <c r="C68" s="9">
        <v>80556</v>
      </c>
      <c r="D68" s="10">
        <v>21620</v>
      </c>
      <c r="E68" s="10">
        <v>13775</v>
      </c>
      <c r="F68" s="11">
        <f t="shared" si="2"/>
        <v>0.63714153561517117</v>
      </c>
      <c r="G68" s="11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36</v>
      </c>
      <c r="L68" s="5">
        <v>20</v>
      </c>
    </row>
    <row r="69" spans="1:12" x14ac:dyDescent="0.3">
      <c r="A69" s="3" t="s">
        <v>92</v>
      </c>
      <c r="B69" s="4" t="s">
        <v>95</v>
      </c>
      <c r="C69" s="9">
        <v>157040</v>
      </c>
      <c r="D69" s="10">
        <v>26895</v>
      </c>
      <c r="E69" s="10">
        <v>18810</v>
      </c>
      <c r="F69" s="11">
        <f t="shared" si="2"/>
        <v>0.69938650306748462</v>
      </c>
      <c r="G69" s="11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36</v>
      </c>
      <c r="L69" s="5">
        <v>19</v>
      </c>
    </row>
    <row r="70" spans="1:12" x14ac:dyDescent="0.3">
      <c r="A70" s="3" t="s">
        <v>96</v>
      </c>
      <c r="B70" s="4" t="s">
        <v>97</v>
      </c>
      <c r="C70" s="9">
        <v>24072</v>
      </c>
      <c r="D70" s="10">
        <v>31505</v>
      </c>
      <c r="E70" s="10">
        <v>26975</v>
      </c>
      <c r="F70" s="11">
        <f t="shared" si="2"/>
        <v>0.85621329947627356</v>
      </c>
      <c r="G70" s="11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14</v>
      </c>
      <c r="L70" s="5">
        <v>23</v>
      </c>
    </row>
    <row r="71" spans="1:12" x14ac:dyDescent="0.3">
      <c r="A71" s="3" t="s">
        <v>96</v>
      </c>
      <c r="B71" s="4" t="s">
        <v>98</v>
      </c>
      <c r="C71" s="9">
        <v>12698</v>
      </c>
      <c r="D71" s="10">
        <v>37805</v>
      </c>
      <c r="E71" s="10">
        <v>32075.000000000004</v>
      </c>
      <c r="F71" s="11">
        <f t="shared" si="2"/>
        <v>0.8484327469911388</v>
      </c>
      <c r="G71" s="11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14</v>
      </c>
      <c r="L71" s="5">
        <v>23</v>
      </c>
    </row>
    <row r="72" spans="1:12" x14ac:dyDescent="0.3">
      <c r="A72" s="3" t="s">
        <v>96</v>
      </c>
      <c r="B72" s="4" t="s">
        <v>99</v>
      </c>
      <c r="C72" s="9">
        <v>3334</v>
      </c>
      <c r="D72" s="10">
        <v>46305</v>
      </c>
      <c r="E72" s="10">
        <v>38955</v>
      </c>
      <c r="F72" s="11">
        <f t="shared" si="2"/>
        <v>0.84126984126984128</v>
      </c>
      <c r="G72" s="11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14</v>
      </c>
      <c r="L72" s="5">
        <v>21</v>
      </c>
    </row>
    <row r="73" spans="1:12" x14ac:dyDescent="0.3">
      <c r="A73" s="3" t="s">
        <v>96</v>
      </c>
      <c r="B73" s="4" t="s">
        <v>100</v>
      </c>
      <c r="C73" s="9">
        <v>6375</v>
      </c>
      <c r="D73" s="10">
        <v>54005</v>
      </c>
      <c r="E73" s="10">
        <v>40375</v>
      </c>
      <c r="F73" s="11">
        <f t="shared" si="2"/>
        <v>0.74761596148504772</v>
      </c>
      <c r="G73" s="11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14</v>
      </c>
      <c r="L73" s="5">
        <v>22</v>
      </c>
    </row>
    <row r="74" spans="1:12" x14ac:dyDescent="0.3">
      <c r="A74" s="3" t="s">
        <v>96</v>
      </c>
      <c r="B74" s="4" t="s">
        <v>101</v>
      </c>
      <c r="C74" s="9">
        <v>9126</v>
      </c>
      <c r="D74" s="10">
        <v>60105</v>
      </c>
      <c r="E74" s="10">
        <v>43870</v>
      </c>
      <c r="F74" s="11">
        <f t="shared" si="2"/>
        <v>0.72988936028616591</v>
      </c>
      <c r="G74" s="11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36</v>
      </c>
      <c r="L74" s="5">
        <v>15</v>
      </c>
    </row>
    <row r="75" spans="1:12" x14ac:dyDescent="0.3">
      <c r="A75" s="3" t="s">
        <v>96</v>
      </c>
      <c r="B75" s="4" t="s">
        <v>102</v>
      </c>
      <c r="C75" s="9">
        <v>51238</v>
      </c>
      <c r="D75" s="10">
        <v>34605</v>
      </c>
      <c r="E75" s="10">
        <v>29140</v>
      </c>
      <c r="F75" s="11">
        <f t="shared" si="2"/>
        <v>0.84207484467562488</v>
      </c>
      <c r="G75" s="11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36</v>
      </c>
      <c r="L75" s="5">
        <v>21</v>
      </c>
    </row>
    <row r="76" spans="1:12" x14ac:dyDescent="0.3">
      <c r="A76" s="3" t="s">
        <v>103</v>
      </c>
      <c r="B76" s="4" t="s">
        <v>104</v>
      </c>
      <c r="C76" s="9">
        <v>13798</v>
      </c>
      <c r="D76" s="10">
        <v>39080</v>
      </c>
      <c r="E76" s="10">
        <v>20525</v>
      </c>
      <c r="F76" s="11">
        <f t="shared" si="2"/>
        <v>0.52520470829068577</v>
      </c>
      <c r="G76" s="11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14</v>
      </c>
      <c r="L76" s="5">
        <v>22</v>
      </c>
    </row>
    <row r="77" spans="1:12" x14ac:dyDescent="0.3">
      <c r="A77" s="3" t="s">
        <v>103</v>
      </c>
      <c r="B77" s="4" t="s">
        <v>105</v>
      </c>
      <c r="C77" s="9">
        <v>48911</v>
      </c>
      <c r="D77" s="10">
        <v>43330</v>
      </c>
      <c r="E77" s="10">
        <v>21725</v>
      </c>
      <c r="F77" s="11">
        <f t="shared" si="2"/>
        <v>0.5013847219016847</v>
      </c>
      <c r="G77" s="11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14</v>
      </c>
      <c r="L77" s="5">
        <v>21</v>
      </c>
    </row>
    <row r="78" spans="1:12" x14ac:dyDescent="0.3">
      <c r="A78" s="3" t="s">
        <v>103</v>
      </c>
      <c r="B78" s="4" t="s">
        <v>106</v>
      </c>
      <c r="C78" s="9">
        <v>22925</v>
      </c>
      <c r="D78" s="10">
        <v>42660</v>
      </c>
      <c r="E78" s="10">
        <v>20765</v>
      </c>
      <c r="F78" s="11">
        <f t="shared" si="2"/>
        <v>0.48675574308485703</v>
      </c>
      <c r="G78" s="11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36</v>
      </c>
      <c r="L78" s="5">
        <v>15</v>
      </c>
    </row>
    <row r="79" spans="1:12" x14ac:dyDescent="0.3">
      <c r="A79" s="3" t="s">
        <v>107</v>
      </c>
      <c r="B79" s="4" t="s">
        <v>108</v>
      </c>
      <c r="C79" s="9">
        <v>26232</v>
      </c>
      <c r="D79" s="10">
        <v>13987</v>
      </c>
      <c r="E79" s="10">
        <v>8325</v>
      </c>
      <c r="F79" s="11">
        <f t="shared" si="2"/>
        <v>0.59519553871452058</v>
      </c>
      <c r="G79" s="11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14</v>
      </c>
      <c r="L79" s="5">
        <v>30</v>
      </c>
    </row>
    <row r="80" spans="1:12" x14ac:dyDescent="0.3">
      <c r="A80" s="3" t="s">
        <v>107</v>
      </c>
      <c r="B80" s="4" t="s">
        <v>109</v>
      </c>
      <c r="C80" s="9">
        <v>42541</v>
      </c>
      <c r="D80" s="10">
        <v>19047</v>
      </c>
      <c r="E80" s="10">
        <v>10395</v>
      </c>
      <c r="F80" s="11">
        <f t="shared" si="2"/>
        <v>0.54575523704520401</v>
      </c>
      <c r="G80" s="11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14</v>
      </c>
      <c r="L80" s="5">
        <v>24</v>
      </c>
    </row>
    <row r="81" spans="1:12" x14ac:dyDescent="0.3">
      <c r="A81" s="3" t="s">
        <v>107</v>
      </c>
      <c r="B81" s="4" t="s">
        <v>110</v>
      </c>
      <c r="C81" s="9">
        <v>55616</v>
      </c>
      <c r="D81" s="10">
        <v>17357</v>
      </c>
      <c r="E81" s="10">
        <v>10595</v>
      </c>
      <c r="F81" s="11">
        <f t="shared" si="2"/>
        <v>0.61041654663824396</v>
      </c>
      <c r="G81" s="11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14</v>
      </c>
      <c r="L81" s="5">
        <v>25</v>
      </c>
    </row>
    <row r="82" spans="1:12" x14ac:dyDescent="0.3">
      <c r="A82" s="3" t="s">
        <v>107</v>
      </c>
      <c r="B82" s="4" t="s">
        <v>111</v>
      </c>
      <c r="C82" s="9">
        <v>5711</v>
      </c>
      <c r="D82" s="10">
        <v>24997</v>
      </c>
      <c r="E82" s="10">
        <v>16575</v>
      </c>
      <c r="F82" s="11">
        <f t="shared" si="2"/>
        <v>0.66307956954834579</v>
      </c>
      <c r="G82" s="11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14</v>
      </c>
      <c r="L82" s="5">
        <v>22</v>
      </c>
    </row>
    <row r="83" spans="1:12" x14ac:dyDescent="0.3">
      <c r="A83" s="3" t="s">
        <v>107</v>
      </c>
      <c r="B83" s="4" t="s">
        <v>112</v>
      </c>
      <c r="C83" s="9">
        <v>110</v>
      </c>
      <c r="D83" s="10">
        <v>25450</v>
      </c>
      <c r="E83" s="10">
        <v>20940</v>
      </c>
      <c r="F83" s="11">
        <f t="shared" si="2"/>
        <v>0.82278978388998036</v>
      </c>
      <c r="G83" s="11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14</v>
      </c>
      <c r="L83" s="5">
        <v>21</v>
      </c>
    </row>
    <row r="84" spans="1:12" x14ac:dyDescent="0.3">
      <c r="A84" s="3" t="s">
        <v>107</v>
      </c>
      <c r="B84" s="4" t="s">
        <v>113</v>
      </c>
      <c r="C84" s="9">
        <v>11337</v>
      </c>
      <c r="D84" s="10">
        <v>31807</v>
      </c>
      <c r="E84" s="10">
        <v>19125</v>
      </c>
      <c r="F84" s="11">
        <f t="shared" si="2"/>
        <v>0.601282736504543</v>
      </c>
      <c r="G84" s="11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36</v>
      </c>
      <c r="L84" s="5">
        <v>18</v>
      </c>
    </row>
    <row r="85" spans="1:12" x14ac:dyDescent="0.3">
      <c r="A85" s="3" t="s">
        <v>107</v>
      </c>
      <c r="B85" s="4" t="s">
        <v>114</v>
      </c>
      <c r="C85" s="9">
        <v>39348</v>
      </c>
      <c r="D85" s="10">
        <v>22527</v>
      </c>
      <c r="E85" s="10">
        <v>13880</v>
      </c>
      <c r="F85" s="11">
        <f t="shared" si="2"/>
        <v>0.6161495094775159</v>
      </c>
      <c r="G85" s="11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36</v>
      </c>
      <c r="L85" s="5">
        <v>20</v>
      </c>
    </row>
    <row r="86" spans="1:12" x14ac:dyDescent="0.3">
      <c r="A86" s="3" t="s">
        <v>115</v>
      </c>
      <c r="B86" s="4" t="s">
        <v>116</v>
      </c>
      <c r="C86" s="9">
        <v>14351</v>
      </c>
      <c r="D86" s="10">
        <v>16239.999999999998</v>
      </c>
      <c r="E86" s="10">
        <v>8800</v>
      </c>
      <c r="F86" s="11">
        <f t="shared" si="2"/>
        <v>0.54187192118226613</v>
      </c>
      <c r="G86" s="11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14</v>
      </c>
      <c r="L86" s="5">
        <v>28</v>
      </c>
    </row>
    <row r="87" spans="1:12" x14ac:dyDescent="0.3">
      <c r="A87" s="3" t="s">
        <v>115</v>
      </c>
      <c r="B87" s="4" t="s">
        <v>117</v>
      </c>
      <c r="C87" s="9">
        <v>26529</v>
      </c>
      <c r="D87" s="10">
        <v>16540</v>
      </c>
      <c r="E87" s="10">
        <v>13890</v>
      </c>
      <c r="F87" s="11">
        <f t="shared" si="2"/>
        <v>0.83978234582829503</v>
      </c>
      <c r="G87" s="11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14</v>
      </c>
      <c r="L87" s="5">
        <v>30</v>
      </c>
    </row>
    <row r="88" spans="1:12" x14ac:dyDescent="0.3">
      <c r="A88" s="3" t="s">
        <v>115</v>
      </c>
      <c r="B88" s="4" t="s">
        <v>118</v>
      </c>
      <c r="C88" s="9">
        <v>67956</v>
      </c>
      <c r="D88" s="10">
        <v>19035</v>
      </c>
      <c r="E88" s="10">
        <v>11030</v>
      </c>
      <c r="F88" s="11">
        <f t="shared" si="2"/>
        <v>0.57945889151562913</v>
      </c>
      <c r="G88" s="11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14</v>
      </c>
      <c r="L88" s="5">
        <v>24</v>
      </c>
    </row>
    <row r="89" spans="1:12" x14ac:dyDescent="0.3">
      <c r="A89" s="3" t="s">
        <v>115</v>
      </c>
      <c r="B89" s="4" t="s">
        <v>119</v>
      </c>
      <c r="C89" s="9">
        <v>81174</v>
      </c>
      <c r="D89" s="10">
        <v>22605</v>
      </c>
      <c r="E89" s="10">
        <v>14875</v>
      </c>
      <c r="F89" s="11">
        <f t="shared" si="2"/>
        <v>0.65804025658040255</v>
      </c>
      <c r="G89" s="11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14</v>
      </c>
      <c r="L89" s="5">
        <v>21</v>
      </c>
    </row>
    <row r="90" spans="1:12" x14ac:dyDescent="0.3">
      <c r="A90" s="3" t="s">
        <v>115</v>
      </c>
      <c r="B90" s="4" t="s">
        <v>120</v>
      </c>
      <c r="C90" s="9">
        <v>27609</v>
      </c>
      <c r="D90" s="10">
        <v>27560</v>
      </c>
      <c r="E90" s="10">
        <v>20430</v>
      </c>
      <c r="F90" s="11">
        <f t="shared" si="2"/>
        <v>0.74129172714078373</v>
      </c>
      <c r="G90" s="11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36</v>
      </c>
      <c r="L90" s="5">
        <v>18</v>
      </c>
    </row>
    <row r="91" spans="1:12" x14ac:dyDescent="0.3">
      <c r="A91" s="3" t="s">
        <v>115</v>
      </c>
      <c r="B91" s="4" t="s">
        <v>121</v>
      </c>
      <c r="C91" s="9">
        <v>20380</v>
      </c>
      <c r="D91" s="10">
        <v>22510</v>
      </c>
      <c r="E91" s="10">
        <v>14795</v>
      </c>
      <c r="F91" s="11">
        <f t="shared" si="2"/>
        <v>0.65726343847179036</v>
      </c>
      <c r="G91" s="11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36</v>
      </c>
      <c r="L91" s="5">
        <v>21</v>
      </c>
    </row>
    <row r="92" spans="1:12" x14ac:dyDescent="0.3">
      <c r="A92" s="3" t="s">
        <v>122</v>
      </c>
      <c r="B92" s="4" t="s">
        <v>123</v>
      </c>
      <c r="C92" s="9">
        <v>18392</v>
      </c>
      <c r="D92" s="10">
        <v>31750</v>
      </c>
      <c r="E92" s="10">
        <v>26050</v>
      </c>
      <c r="F92" s="11">
        <f t="shared" si="2"/>
        <v>0.82047244094488192</v>
      </c>
      <c r="G92" s="11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14</v>
      </c>
      <c r="L92" s="5">
        <v>26</v>
      </c>
    </row>
    <row r="93" spans="1:12" x14ac:dyDescent="0.3">
      <c r="A93" s="3" t="s">
        <v>122</v>
      </c>
      <c r="B93" s="4" t="s">
        <v>124</v>
      </c>
      <c r="C93" s="9">
        <v>27602</v>
      </c>
      <c r="D93" s="10">
        <v>49900</v>
      </c>
      <c r="E93" s="10">
        <v>41450</v>
      </c>
      <c r="F93" s="11">
        <f t="shared" si="2"/>
        <v>0.83066132264529058</v>
      </c>
      <c r="G93" s="11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14</v>
      </c>
      <c r="L93" s="5">
        <v>25</v>
      </c>
    </row>
    <row r="94" spans="1:12" x14ac:dyDescent="0.3">
      <c r="A94" s="3" t="s">
        <v>122</v>
      </c>
      <c r="B94" s="4" t="s">
        <v>125</v>
      </c>
      <c r="C94" s="9">
        <v>16774</v>
      </c>
      <c r="D94" s="10">
        <v>69700</v>
      </c>
      <c r="E94" s="10">
        <v>50375</v>
      </c>
      <c r="F94" s="11">
        <f t="shared" si="2"/>
        <v>0.72274031563845054</v>
      </c>
      <c r="G94" s="11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14</v>
      </c>
      <c r="L94" s="5">
        <v>21</v>
      </c>
    </row>
    <row r="95" spans="1:12" x14ac:dyDescent="0.3">
      <c r="A95" s="3" t="s">
        <v>122</v>
      </c>
      <c r="B95" s="4" t="s">
        <v>126</v>
      </c>
      <c r="C95" s="9">
        <v>3311</v>
      </c>
      <c r="D95" s="10">
        <v>82600</v>
      </c>
      <c r="E95" s="10">
        <v>58600</v>
      </c>
      <c r="F95" s="11">
        <f t="shared" si="2"/>
        <v>0.70944309927360771</v>
      </c>
      <c r="G95" s="11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14</v>
      </c>
      <c r="L95" s="5">
        <v>20</v>
      </c>
    </row>
    <row r="96" spans="1:12" x14ac:dyDescent="0.3">
      <c r="A96" s="3" t="s">
        <v>122</v>
      </c>
      <c r="B96" s="4" t="s">
        <v>127</v>
      </c>
      <c r="C96" s="9">
        <v>7998</v>
      </c>
      <c r="D96" s="10">
        <v>38900</v>
      </c>
      <c r="E96" s="10">
        <v>32436</v>
      </c>
      <c r="F96" s="11">
        <f t="shared" si="2"/>
        <v>0.83383033419023134</v>
      </c>
      <c r="G96" s="11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14</v>
      </c>
      <c r="L96" s="5">
        <v>26</v>
      </c>
    </row>
    <row r="97" spans="1:12" x14ac:dyDescent="0.3">
      <c r="A97" s="3" t="s">
        <v>122</v>
      </c>
      <c r="B97" s="4" t="s">
        <v>128</v>
      </c>
      <c r="C97" s="9">
        <v>1526</v>
      </c>
      <c r="D97" s="10">
        <v>41000</v>
      </c>
      <c r="E97" s="10">
        <v>28635</v>
      </c>
      <c r="F97" s="11">
        <f t="shared" si="2"/>
        <v>0.69841463414634142</v>
      </c>
      <c r="G97" s="11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14</v>
      </c>
      <c r="L97" s="5">
        <v>27</v>
      </c>
    </row>
    <row r="98" spans="1:12" x14ac:dyDescent="0.3">
      <c r="A98" s="3" t="s">
        <v>122</v>
      </c>
      <c r="B98" s="4" t="s">
        <v>129</v>
      </c>
      <c r="C98" s="9">
        <v>11592</v>
      </c>
      <c r="D98" s="10">
        <v>41600</v>
      </c>
      <c r="E98" s="10">
        <v>29200</v>
      </c>
      <c r="F98" s="11">
        <f t="shared" si="2"/>
        <v>0.70192307692307687</v>
      </c>
      <c r="G98" s="11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14</v>
      </c>
      <c r="L98" s="5">
        <v>26</v>
      </c>
    </row>
    <row r="99" spans="1:12" x14ac:dyDescent="0.3">
      <c r="A99" s="3" t="s">
        <v>122</v>
      </c>
      <c r="B99" s="4" t="s">
        <v>130</v>
      </c>
      <c r="C99" s="9">
        <v>954</v>
      </c>
      <c r="D99" s="10">
        <v>85500</v>
      </c>
      <c r="E99" s="10">
        <v>63423</v>
      </c>
      <c r="F99" s="11">
        <f t="shared" si="2"/>
        <v>0.74178947368421055</v>
      </c>
      <c r="G99" s="11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14</v>
      </c>
      <c r="L99" s="5">
        <v>20</v>
      </c>
    </row>
    <row r="100" spans="1:12" x14ac:dyDescent="0.3">
      <c r="A100" s="3" t="s">
        <v>122</v>
      </c>
      <c r="B100" s="4" t="s">
        <v>131</v>
      </c>
      <c r="C100" s="9">
        <v>28976</v>
      </c>
      <c r="D100" s="10">
        <v>35300</v>
      </c>
      <c r="E100" s="10">
        <v>28720</v>
      </c>
      <c r="F100" s="11">
        <f t="shared" si="2"/>
        <v>0.81359773371104815</v>
      </c>
      <c r="G100" s="11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36</v>
      </c>
      <c r="L100" s="5">
        <v>20</v>
      </c>
    </row>
    <row r="101" spans="1:12" x14ac:dyDescent="0.3">
      <c r="A101" s="3" t="s">
        <v>132</v>
      </c>
      <c r="B101" s="4" t="s">
        <v>133</v>
      </c>
      <c r="C101" s="9">
        <v>42643</v>
      </c>
      <c r="D101" s="10">
        <v>13499</v>
      </c>
      <c r="E101" s="10">
        <v>8450</v>
      </c>
      <c r="F101" s="11">
        <f t="shared" si="2"/>
        <v>0.62597229424401812</v>
      </c>
      <c r="G101" s="11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14</v>
      </c>
      <c r="L101" s="5">
        <v>30</v>
      </c>
    </row>
    <row r="102" spans="1:12" x14ac:dyDescent="0.3">
      <c r="A102" s="3" t="s">
        <v>132</v>
      </c>
      <c r="B102" s="4" t="s">
        <v>134</v>
      </c>
      <c r="C102" s="9">
        <v>88094</v>
      </c>
      <c r="D102" s="10">
        <v>20390</v>
      </c>
      <c r="E102" s="10">
        <v>11295</v>
      </c>
      <c r="F102" s="11">
        <f t="shared" si="2"/>
        <v>0.55394801373222169</v>
      </c>
      <c r="G102" s="11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14</v>
      </c>
      <c r="L102" s="5">
        <v>25</v>
      </c>
    </row>
    <row r="103" spans="1:12" x14ac:dyDescent="0.3">
      <c r="A103" s="3" t="s">
        <v>132</v>
      </c>
      <c r="B103" s="4" t="s">
        <v>135</v>
      </c>
      <c r="C103" s="9">
        <v>79853</v>
      </c>
      <c r="D103" s="10">
        <v>26249</v>
      </c>
      <c r="E103" s="10">
        <v>15125</v>
      </c>
      <c r="F103" s="11">
        <f t="shared" si="2"/>
        <v>0.57621242714008147</v>
      </c>
      <c r="G103" s="11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14</v>
      </c>
      <c r="L103" s="5">
        <v>25</v>
      </c>
    </row>
    <row r="104" spans="1:12" x14ac:dyDescent="0.3">
      <c r="A104" s="3" t="s">
        <v>132</v>
      </c>
      <c r="B104" s="4" t="s">
        <v>136</v>
      </c>
      <c r="C104" s="9">
        <v>27308</v>
      </c>
      <c r="D104" s="10">
        <v>26399</v>
      </c>
      <c r="E104" s="10">
        <v>15380</v>
      </c>
      <c r="F104" s="11">
        <f t="shared" si="2"/>
        <v>0.58259782567521501</v>
      </c>
      <c r="G104" s="11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36</v>
      </c>
      <c r="L104" s="5">
        <v>21</v>
      </c>
    </row>
    <row r="105" spans="1:12" x14ac:dyDescent="0.3">
      <c r="A105" s="3" t="s">
        <v>132</v>
      </c>
      <c r="B105" s="4" t="s">
        <v>137</v>
      </c>
      <c r="C105" s="9">
        <v>42574</v>
      </c>
      <c r="D105" s="10">
        <v>29299</v>
      </c>
      <c r="E105" s="10">
        <v>17810</v>
      </c>
      <c r="F105" s="11">
        <f t="shared" si="2"/>
        <v>0.60787057578756953</v>
      </c>
      <c r="G105" s="11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36</v>
      </c>
      <c r="L105" s="5">
        <v>19</v>
      </c>
    </row>
    <row r="106" spans="1:12" x14ac:dyDescent="0.3">
      <c r="A106" s="3" t="s">
        <v>132</v>
      </c>
      <c r="B106" s="4" t="s">
        <v>138</v>
      </c>
      <c r="C106" s="9">
        <v>54158</v>
      </c>
      <c r="D106" s="10">
        <v>22799</v>
      </c>
      <c r="E106" s="10">
        <v>13093</v>
      </c>
      <c r="F106" s="11">
        <f t="shared" si="2"/>
        <v>0.57427957366551163</v>
      </c>
      <c r="G106" s="11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36</v>
      </c>
      <c r="L106" s="5">
        <v>18</v>
      </c>
    </row>
    <row r="107" spans="1:12" x14ac:dyDescent="0.3">
      <c r="A107" s="3" t="s">
        <v>132</v>
      </c>
      <c r="B107" s="4" t="s">
        <v>139</v>
      </c>
      <c r="C107" s="9">
        <v>65004.999999999993</v>
      </c>
      <c r="D107" s="10">
        <v>17890</v>
      </c>
      <c r="E107" s="10">
        <v>10670</v>
      </c>
      <c r="F107" s="11">
        <f t="shared" si="2"/>
        <v>0.59642258244829516</v>
      </c>
      <c r="G107" s="11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36</v>
      </c>
      <c r="L107" s="5">
        <v>18</v>
      </c>
    </row>
    <row r="108" spans="1:12" x14ac:dyDescent="0.3">
      <c r="A108" s="3" t="s">
        <v>140</v>
      </c>
      <c r="B108" s="4" t="s">
        <v>141</v>
      </c>
      <c r="C108" s="9">
        <v>1112</v>
      </c>
      <c r="D108" s="10">
        <v>18145</v>
      </c>
      <c r="E108" s="10">
        <v>11240</v>
      </c>
      <c r="F108" s="11">
        <f t="shared" si="2"/>
        <v>0.61945439515017908</v>
      </c>
      <c r="G108" s="11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14</v>
      </c>
      <c r="L108" s="5">
        <v>25</v>
      </c>
    </row>
    <row r="109" spans="1:12" x14ac:dyDescent="0.3">
      <c r="A109" s="3" t="s">
        <v>140</v>
      </c>
      <c r="B109" s="4" t="s">
        <v>142</v>
      </c>
      <c r="C109" s="9">
        <v>38554</v>
      </c>
      <c r="D109" s="10">
        <v>24150</v>
      </c>
      <c r="E109" s="10">
        <v>17100</v>
      </c>
      <c r="F109" s="11">
        <f t="shared" si="2"/>
        <v>0.70807453416149069</v>
      </c>
      <c r="G109" s="11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14</v>
      </c>
      <c r="L109" s="5">
        <v>23</v>
      </c>
    </row>
    <row r="110" spans="1:12" x14ac:dyDescent="0.3">
      <c r="A110" s="3" t="s">
        <v>140</v>
      </c>
      <c r="B110" s="4" t="s">
        <v>143</v>
      </c>
      <c r="C110" s="9">
        <v>80255</v>
      </c>
      <c r="D110" s="10">
        <v>18270</v>
      </c>
      <c r="E110" s="10">
        <v>11459</v>
      </c>
      <c r="F110" s="11">
        <f t="shared" si="2"/>
        <v>0.62720306513409962</v>
      </c>
      <c r="G110" s="11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14</v>
      </c>
      <c r="L110" s="5">
        <v>27</v>
      </c>
    </row>
    <row r="111" spans="1:12" x14ac:dyDescent="0.3">
      <c r="A111" s="3" t="s">
        <v>140</v>
      </c>
      <c r="B111" s="4" t="s">
        <v>144</v>
      </c>
      <c r="C111" s="9">
        <v>14690</v>
      </c>
      <c r="D111" s="10">
        <v>36229</v>
      </c>
      <c r="E111" s="10">
        <v>19890</v>
      </c>
      <c r="F111" s="11">
        <f t="shared" si="2"/>
        <v>0.54900770101300067</v>
      </c>
      <c r="G111" s="11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14</v>
      </c>
      <c r="L111" s="5">
        <v>22</v>
      </c>
    </row>
    <row r="112" spans="1:12" x14ac:dyDescent="0.3">
      <c r="A112" s="3" t="s">
        <v>140</v>
      </c>
      <c r="B112" s="4" t="s">
        <v>145</v>
      </c>
      <c r="C112" s="9">
        <v>20017</v>
      </c>
      <c r="D112" s="10">
        <v>31598</v>
      </c>
      <c r="E112" s="10">
        <v>19925</v>
      </c>
      <c r="F112" s="11">
        <f t="shared" si="2"/>
        <v>0.63057788467624531</v>
      </c>
      <c r="G112" s="11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36</v>
      </c>
      <c r="L112" s="5">
        <v>19</v>
      </c>
    </row>
    <row r="113" spans="1:12" x14ac:dyDescent="0.3">
      <c r="A113" s="3" t="s">
        <v>140</v>
      </c>
      <c r="B113" s="4" t="s">
        <v>146</v>
      </c>
      <c r="C113" s="9">
        <v>24361</v>
      </c>
      <c r="D113" s="10">
        <v>25345</v>
      </c>
      <c r="E113" s="10">
        <v>15240</v>
      </c>
      <c r="F113" s="11">
        <f t="shared" si="2"/>
        <v>0.60130203195896625</v>
      </c>
      <c r="G113" s="11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36</v>
      </c>
      <c r="L113" s="5">
        <v>22</v>
      </c>
    </row>
    <row r="114" spans="1:12" x14ac:dyDescent="0.3">
      <c r="A114" s="3" t="s">
        <v>147</v>
      </c>
      <c r="B114" s="4" t="s">
        <v>55</v>
      </c>
      <c r="C114" s="9">
        <v>32734</v>
      </c>
      <c r="D114" s="10">
        <v>12640</v>
      </c>
      <c r="E114" s="10">
        <v>7750</v>
      </c>
      <c r="F114" s="11">
        <f t="shared" si="2"/>
        <v>0.61313291139240511</v>
      </c>
      <c r="G114" s="11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14</v>
      </c>
      <c r="L114" s="5">
        <v>29</v>
      </c>
    </row>
    <row r="115" spans="1:12" x14ac:dyDescent="0.3">
      <c r="A115" s="3" t="s">
        <v>147</v>
      </c>
      <c r="B115" s="4" t="s">
        <v>148</v>
      </c>
      <c r="C115" s="9">
        <v>5240</v>
      </c>
      <c r="D115" s="10">
        <v>16079.999999999998</v>
      </c>
      <c r="E115" s="10">
        <v>9800</v>
      </c>
      <c r="F115" s="11">
        <f t="shared" si="2"/>
        <v>0.60945273631840802</v>
      </c>
      <c r="G115" s="11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14</v>
      </c>
      <c r="L115" s="5">
        <v>27</v>
      </c>
    </row>
    <row r="116" spans="1:12" x14ac:dyDescent="0.3">
      <c r="A116" s="3" t="s">
        <v>147</v>
      </c>
      <c r="B116" s="4" t="s">
        <v>149</v>
      </c>
      <c r="C116" s="9">
        <v>24155</v>
      </c>
      <c r="D116" s="10">
        <v>18850</v>
      </c>
      <c r="E116" s="10">
        <v>12025</v>
      </c>
      <c r="F116" s="11">
        <f t="shared" si="2"/>
        <v>0.63793103448275867</v>
      </c>
      <c r="G116" s="11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36</v>
      </c>
      <c r="L116" s="5">
        <v>24</v>
      </c>
    </row>
    <row r="117" spans="1:12" x14ac:dyDescent="0.3">
      <c r="A117" s="3" t="s">
        <v>147</v>
      </c>
      <c r="B117" s="4" t="s">
        <v>150</v>
      </c>
      <c r="C117" s="9">
        <v>1872</v>
      </c>
      <c r="D117" s="10">
        <v>43000</v>
      </c>
      <c r="E117" s="10">
        <v>30434</v>
      </c>
      <c r="F117" s="11">
        <f t="shared" si="2"/>
        <v>0.70776744186046514</v>
      </c>
      <c r="G117" s="11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14</v>
      </c>
      <c r="L117" s="5">
        <v>21</v>
      </c>
    </row>
    <row r="118" spans="1:12" x14ac:dyDescent="0.3">
      <c r="A118" s="3" t="s">
        <v>151</v>
      </c>
      <c r="B118" s="4" t="s">
        <v>152</v>
      </c>
      <c r="C118" s="9">
        <v>51645</v>
      </c>
      <c r="D118" s="10">
        <v>21610</v>
      </c>
      <c r="E118" s="10">
        <v>13790</v>
      </c>
      <c r="F118" s="11">
        <f t="shared" si="2"/>
        <v>0.6381304951411384</v>
      </c>
      <c r="G118" s="11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14</v>
      </c>
      <c r="L118" s="5">
        <v>27</v>
      </c>
    </row>
    <row r="119" spans="1:12" x14ac:dyDescent="0.3">
      <c r="A119" s="3" t="s">
        <v>151</v>
      </c>
      <c r="B119" s="4" t="s">
        <v>153</v>
      </c>
      <c r="C119" s="9">
        <v>131097</v>
      </c>
      <c r="D119" s="10">
        <v>19720</v>
      </c>
      <c r="E119" s="10">
        <v>10290</v>
      </c>
      <c r="F119" s="11">
        <f t="shared" si="2"/>
        <v>0.52180527383367137</v>
      </c>
      <c r="G119" s="11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14</v>
      </c>
      <c r="L119" s="5">
        <v>25</v>
      </c>
    </row>
    <row r="120" spans="1:12" x14ac:dyDescent="0.3">
      <c r="A120" s="3" t="s">
        <v>151</v>
      </c>
      <c r="B120" s="4" t="s">
        <v>154</v>
      </c>
      <c r="C120" s="9">
        <v>19911</v>
      </c>
      <c r="D120" s="10">
        <v>25310</v>
      </c>
      <c r="E120" s="10">
        <v>17805</v>
      </c>
      <c r="F120" s="11">
        <f t="shared" si="2"/>
        <v>0.70347688660608454</v>
      </c>
      <c r="G120" s="11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14</v>
      </c>
      <c r="L120" s="5">
        <v>25</v>
      </c>
    </row>
    <row r="121" spans="1:12" x14ac:dyDescent="0.3">
      <c r="A121" s="3" t="s">
        <v>151</v>
      </c>
      <c r="B121" s="4" t="s">
        <v>155</v>
      </c>
      <c r="C121" s="9">
        <v>92364</v>
      </c>
      <c r="D121" s="10">
        <v>21665</v>
      </c>
      <c r="E121" s="10">
        <v>14010</v>
      </c>
      <c r="F121" s="11">
        <f t="shared" si="2"/>
        <v>0.6466651280867759</v>
      </c>
      <c r="G121" s="11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14</v>
      </c>
      <c r="L121" s="5">
        <v>25</v>
      </c>
    </row>
    <row r="122" spans="1:12" x14ac:dyDescent="0.3">
      <c r="A122" s="3" t="s">
        <v>151</v>
      </c>
      <c r="B122" s="4" t="s">
        <v>156</v>
      </c>
      <c r="C122" s="9">
        <v>35945</v>
      </c>
      <c r="D122" s="10">
        <v>23755</v>
      </c>
      <c r="E122" s="10">
        <v>13225</v>
      </c>
      <c r="F122" s="11">
        <f t="shared" si="2"/>
        <v>0.55672490002104824</v>
      </c>
      <c r="G122" s="11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14</v>
      </c>
      <c r="L122" s="5">
        <v>24</v>
      </c>
    </row>
    <row r="123" spans="1:12" x14ac:dyDescent="0.3">
      <c r="A123" s="3" t="s">
        <v>151</v>
      </c>
      <c r="B123" s="4" t="s">
        <v>157</v>
      </c>
      <c r="C123" s="9">
        <v>39572</v>
      </c>
      <c r="D123" s="10">
        <v>25635</v>
      </c>
      <c r="E123" s="10">
        <v>14215</v>
      </c>
      <c r="F123" s="11">
        <f t="shared" si="2"/>
        <v>0.55451531109810803</v>
      </c>
      <c r="G123" s="11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36</v>
      </c>
      <c r="L123" s="5">
        <v>23</v>
      </c>
    </row>
    <row r="124" spans="1:12" x14ac:dyDescent="0.3">
      <c r="A124" s="3" t="s">
        <v>158</v>
      </c>
      <c r="B124" s="4" t="s">
        <v>159</v>
      </c>
      <c r="C124" s="9">
        <v>8982</v>
      </c>
      <c r="D124" s="10">
        <v>41430</v>
      </c>
      <c r="E124" s="10">
        <v>41250</v>
      </c>
      <c r="F124" s="11">
        <f t="shared" si="2"/>
        <v>0.99565532223026787</v>
      </c>
      <c r="G124" s="11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14</v>
      </c>
      <c r="L124" s="5">
        <v>22</v>
      </c>
    </row>
    <row r="125" spans="1:12" x14ac:dyDescent="0.3">
      <c r="A125" s="3" t="s">
        <v>158</v>
      </c>
      <c r="B125" s="4" t="s">
        <v>160</v>
      </c>
      <c r="C125" s="9">
        <v>1280</v>
      </c>
      <c r="D125" s="10">
        <v>71020</v>
      </c>
      <c r="E125" s="10">
        <v>60625</v>
      </c>
      <c r="F125" s="11">
        <f t="shared" si="2"/>
        <v>0.85363277949873273</v>
      </c>
      <c r="G125" s="11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14</v>
      </c>
      <c r="L125" s="5">
        <v>21</v>
      </c>
    </row>
    <row r="126" spans="1:12" x14ac:dyDescent="0.3">
      <c r="A126" s="3" t="s">
        <v>158</v>
      </c>
      <c r="B126" s="4" t="s">
        <v>161</v>
      </c>
      <c r="C126" s="9">
        <v>1866</v>
      </c>
      <c r="D126" s="10">
        <v>74970</v>
      </c>
      <c r="E126" s="10">
        <v>67550</v>
      </c>
      <c r="F126" s="11">
        <f t="shared" si="2"/>
        <v>0.90102707749766575</v>
      </c>
      <c r="G126" s="11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14</v>
      </c>
      <c r="L126" s="5">
        <v>23</v>
      </c>
    </row>
    <row r="127" spans="1:12" x14ac:dyDescent="0.3">
      <c r="A127" s="3" t="s">
        <v>162</v>
      </c>
      <c r="B127" s="6" t="s">
        <v>163</v>
      </c>
      <c r="C127" s="9">
        <v>9191</v>
      </c>
      <c r="D127" s="10">
        <v>33120</v>
      </c>
      <c r="E127" s="10">
        <v>22789</v>
      </c>
      <c r="F127" s="11">
        <f t="shared" si="2"/>
        <v>0.68807367149758458</v>
      </c>
      <c r="G127" s="11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14</v>
      </c>
      <c r="L127" s="5">
        <v>23</v>
      </c>
    </row>
    <row r="128" spans="1:12" x14ac:dyDescent="0.3">
      <c r="A128" s="3" t="s">
        <v>162</v>
      </c>
      <c r="B128" s="6" t="s">
        <v>164</v>
      </c>
      <c r="C128" s="9">
        <v>12115</v>
      </c>
      <c r="D128" s="10">
        <v>26100</v>
      </c>
      <c r="E128" s="10">
        <v>18255</v>
      </c>
      <c r="F128" s="11">
        <f t="shared" si="2"/>
        <v>0.69942528735632181</v>
      </c>
      <c r="G128" s="11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14</v>
      </c>
      <c r="L128" s="5">
        <v>23</v>
      </c>
    </row>
    <row r="129" spans="1:12" x14ac:dyDescent="0.3">
      <c r="A129" s="3" t="s">
        <v>165</v>
      </c>
      <c r="B129" s="4" t="s">
        <v>166</v>
      </c>
      <c r="C129" s="9">
        <v>80620</v>
      </c>
      <c r="D129" s="10">
        <v>10685</v>
      </c>
      <c r="E129" s="10">
        <v>9200</v>
      </c>
      <c r="F129" s="11">
        <f t="shared" si="2"/>
        <v>0.86102012166588671</v>
      </c>
      <c r="G129" s="11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14</v>
      </c>
      <c r="L129" s="5">
        <v>33</v>
      </c>
    </row>
    <row r="130" spans="1:12" x14ac:dyDescent="0.3">
      <c r="A130" s="3" t="s">
        <v>165</v>
      </c>
      <c r="B130" s="4" t="s">
        <v>167</v>
      </c>
      <c r="C130" s="9">
        <v>24546</v>
      </c>
      <c r="D130" s="10">
        <v>12535</v>
      </c>
      <c r="E130" s="10">
        <v>10590</v>
      </c>
      <c r="F130" s="11">
        <f t="shared" ref="F130:F156" si="4">SUM(E130/D130)</f>
        <v>0.84483446350219382</v>
      </c>
      <c r="G130" s="11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14</v>
      </c>
      <c r="L130" s="5">
        <v>33</v>
      </c>
    </row>
    <row r="131" spans="1:12" x14ac:dyDescent="0.3">
      <c r="A131" s="3" t="s">
        <v>165</v>
      </c>
      <c r="B131" s="4" t="s">
        <v>168</v>
      </c>
      <c r="C131" s="9">
        <v>5223</v>
      </c>
      <c r="D131" s="10">
        <v>14290</v>
      </c>
      <c r="E131" s="10">
        <v>10790</v>
      </c>
      <c r="F131" s="11">
        <f t="shared" si="4"/>
        <v>0.75507347795661306</v>
      </c>
      <c r="G131" s="11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14</v>
      </c>
      <c r="L131" s="5">
        <v>31</v>
      </c>
    </row>
    <row r="132" spans="1:12" x14ac:dyDescent="0.3">
      <c r="A132" s="3" t="s">
        <v>165</v>
      </c>
      <c r="B132" s="4" t="s">
        <v>169</v>
      </c>
      <c r="C132" s="9">
        <v>8472</v>
      </c>
      <c r="D132" s="10">
        <v>18835</v>
      </c>
      <c r="E132" s="10">
        <v>13700</v>
      </c>
      <c r="F132" s="11">
        <f t="shared" si="4"/>
        <v>0.72736925935757901</v>
      </c>
      <c r="G132" s="11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14</v>
      </c>
      <c r="L132" s="5">
        <v>27</v>
      </c>
    </row>
    <row r="133" spans="1:12" x14ac:dyDescent="0.3">
      <c r="A133" s="3" t="s">
        <v>165</v>
      </c>
      <c r="B133" s="4" t="s">
        <v>170</v>
      </c>
      <c r="C133" s="9">
        <v>49989</v>
      </c>
      <c r="D133" s="10">
        <v>15010</v>
      </c>
      <c r="E133" s="10">
        <v>9900</v>
      </c>
      <c r="F133" s="11">
        <f t="shared" si="4"/>
        <v>0.65956029313790809</v>
      </c>
      <c r="G133" s="11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14</v>
      </c>
      <c r="L133" s="5">
        <v>28</v>
      </c>
    </row>
    <row r="134" spans="1:12" x14ac:dyDescent="0.3">
      <c r="A134" s="3" t="s">
        <v>171</v>
      </c>
      <c r="B134" s="4" t="s">
        <v>172</v>
      </c>
      <c r="C134" s="9">
        <v>47107</v>
      </c>
      <c r="D134" s="10">
        <v>22695</v>
      </c>
      <c r="E134" s="10">
        <v>16770</v>
      </c>
      <c r="F134" s="11">
        <f t="shared" si="4"/>
        <v>0.73892927957699939</v>
      </c>
      <c r="G134" s="11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14</v>
      </c>
      <c r="L134" s="5">
        <v>25</v>
      </c>
    </row>
    <row r="135" spans="1:12" x14ac:dyDescent="0.3">
      <c r="A135" s="3" t="s">
        <v>171</v>
      </c>
      <c r="B135" s="4" t="s">
        <v>173</v>
      </c>
      <c r="C135" s="9">
        <v>33028</v>
      </c>
      <c r="D135" s="10">
        <v>20095</v>
      </c>
      <c r="E135" s="10">
        <v>14832</v>
      </c>
      <c r="F135" s="11">
        <f t="shared" si="4"/>
        <v>0.73809405324707644</v>
      </c>
      <c r="G135" s="11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36</v>
      </c>
      <c r="L135" s="5">
        <v>24</v>
      </c>
    </row>
    <row r="136" spans="1:12" x14ac:dyDescent="0.3">
      <c r="A136" s="3" t="s">
        <v>174</v>
      </c>
      <c r="B136" s="4" t="s">
        <v>175</v>
      </c>
      <c r="C136" s="9">
        <v>142535</v>
      </c>
      <c r="D136" s="10">
        <v>13108</v>
      </c>
      <c r="E136" s="10">
        <v>10025</v>
      </c>
      <c r="F136" s="11">
        <f t="shared" si="4"/>
        <v>0.76480012206286241</v>
      </c>
      <c r="G136" s="11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14</v>
      </c>
      <c r="L136" s="5">
        <v>33</v>
      </c>
    </row>
    <row r="137" spans="1:12" x14ac:dyDescent="0.3">
      <c r="A137" s="3" t="s">
        <v>174</v>
      </c>
      <c r="B137" s="4" t="s">
        <v>176</v>
      </c>
      <c r="C137" s="9">
        <v>247994</v>
      </c>
      <c r="D137" s="10">
        <v>17518</v>
      </c>
      <c r="E137" s="10">
        <v>13245</v>
      </c>
      <c r="F137" s="11">
        <f t="shared" si="4"/>
        <v>0.75607946112569924</v>
      </c>
      <c r="G137" s="11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14</v>
      </c>
      <c r="L137" s="5">
        <v>27</v>
      </c>
    </row>
    <row r="138" spans="1:12" x14ac:dyDescent="0.3">
      <c r="A138" s="3" t="s">
        <v>174</v>
      </c>
      <c r="B138" s="4" t="s">
        <v>177</v>
      </c>
      <c r="C138" s="9">
        <v>63849</v>
      </c>
      <c r="D138" s="10">
        <v>25545</v>
      </c>
      <c r="E138" s="10">
        <v>18140</v>
      </c>
      <c r="F138" s="11">
        <f t="shared" si="4"/>
        <v>0.71011939714229788</v>
      </c>
      <c r="G138" s="11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14</v>
      </c>
      <c r="L138" s="5">
        <v>26</v>
      </c>
    </row>
    <row r="139" spans="1:12" x14ac:dyDescent="0.3">
      <c r="A139" s="3" t="s">
        <v>174</v>
      </c>
      <c r="B139" s="4" t="s">
        <v>178</v>
      </c>
      <c r="C139" s="9">
        <v>33269</v>
      </c>
      <c r="D139" s="10">
        <v>16875</v>
      </c>
      <c r="E139" s="10">
        <v>15445</v>
      </c>
      <c r="F139" s="11">
        <f t="shared" si="4"/>
        <v>0.91525925925925922</v>
      </c>
      <c r="G139" s="11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14</v>
      </c>
      <c r="L139" s="5">
        <v>31</v>
      </c>
    </row>
    <row r="140" spans="1:12" x14ac:dyDescent="0.3">
      <c r="A140" s="3" t="s">
        <v>174</v>
      </c>
      <c r="B140" s="4" t="s">
        <v>179</v>
      </c>
      <c r="C140" s="9">
        <v>84087</v>
      </c>
      <c r="D140" s="10">
        <v>11528</v>
      </c>
      <c r="E140" s="10">
        <v>9575</v>
      </c>
      <c r="F140" s="11">
        <f t="shared" si="4"/>
        <v>0.83058639833448988</v>
      </c>
      <c r="G140" s="11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36</v>
      </c>
      <c r="L140" s="5">
        <v>23</v>
      </c>
    </row>
    <row r="141" spans="1:12" x14ac:dyDescent="0.3">
      <c r="A141" s="3" t="s">
        <v>174</v>
      </c>
      <c r="B141" s="4" t="s">
        <v>180</v>
      </c>
      <c r="C141" s="9">
        <v>65119</v>
      </c>
      <c r="D141" s="10">
        <v>22368</v>
      </c>
      <c r="E141" s="10">
        <v>18689</v>
      </c>
      <c r="F141" s="11">
        <f t="shared" si="4"/>
        <v>0.83552396280400576</v>
      </c>
      <c r="G141" s="11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36</v>
      </c>
      <c r="L141" s="5">
        <v>22</v>
      </c>
    </row>
    <row r="142" spans="1:12" x14ac:dyDescent="0.3">
      <c r="A142" s="3" t="s">
        <v>174</v>
      </c>
      <c r="B142" s="4" t="s">
        <v>181</v>
      </c>
      <c r="C142" s="9">
        <v>25106</v>
      </c>
      <c r="D142" s="10">
        <v>16888</v>
      </c>
      <c r="E142" s="10">
        <v>13325</v>
      </c>
      <c r="F142" s="11">
        <f t="shared" si="4"/>
        <v>0.78902179062055899</v>
      </c>
      <c r="G142" s="11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36</v>
      </c>
      <c r="L142" s="5">
        <v>27</v>
      </c>
    </row>
    <row r="143" spans="1:12" x14ac:dyDescent="0.3">
      <c r="A143" s="3" t="s">
        <v>174</v>
      </c>
      <c r="B143" s="4" t="s">
        <v>182</v>
      </c>
      <c r="C143" s="9">
        <v>68411</v>
      </c>
      <c r="D143" s="10">
        <v>22288</v>
      </c>
      <c r="E143" s="10">
        <v>19425</v>
      </c>
      <c r="F143" s="11">
        <f t="shared" si="4"/>
        <v>0.87154522613065322</v>
      </c>
      <c r="G143" s="11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36</v>
      </c>
      <c r="L143" s="5">
        <v>23</v>
      </c>
    </row>
    <row r="144" spans="1:12" x14ac:dyDescent="0.3">
      <c r="A144" s="3" t="s">
        <v>174</v>
      </c>
      <c r="B144" s="4" t="s">
        <v>183</v>
      </c>
      <c r="C144" s="9">
        <v>9835</v>
      </c>
      <c r="D144" s="10">
        <v>51728</v>
      </c>
      <c r="E144" s="10">
        <v>34080</v>
      </c>
      <c r="F144" s="11">
        <f t="shared" si="4"/>
        <v>0.65883080729972165</v>
      </c>
      <c r="G144" s="11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36</v>
      </c>
      <c r="L144" s="5">
        <v>15</v>
      </c>
    </row>
    <row r="145" spans="1:12" x14ac:dyDescent="0.3">
      <c r="A145" s="3" t="s">
        <v>184</v>
      </c>
      <c r="B145" s="4" t="s">
        <v>185</v>
      </c>
      <c r="C145" s="9">
        <v>9761</v>
      </c>
      <c r="D145" s="10">
        <v>14900</v>
      </c>
      <c r="E145" s="10">
        <v>11425</v>
      </c>
      <c r="F145" s="11">
        <f t="shared" si="4"/>
        <v>0.76677852348993292</v>
      </c>
      <c r="G145" s="11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14</v>
      </c>
      <c r="L145" s="5">
        <v>26</v>
      </c>
    </row>
    <row r="146" spans="1:12" x14ac:dyDescent="0.3">
      <c r="A146" s="3" t="s">
        <v>184</v>
      </c>
      <c r="B146" s="4" t="s">
        <v>186</v>
      </c>
      <c r="C146" s="9">
        <v>83721</v>
      </c>
      <c r="D146" s="10">
        <v>16700</v>
      </c>
      <c r="E146" s="10">
        <v>13240</v>
      </c>
      <c r="F146" s="11">
        <f t="shared" si="4"/>
        <v>0.792814371257485</v>
      </c>
      <c r="G146" s="11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14</v>
      </c>
      <c r="L146" s="5">
        <v>26</v>
      </c>
    </row>
    <row r="147" spans="1:12" x14ac:dyDescent="0.3">
      <c r="A147" s="3" t="s">
        <v>184</v>
      </c>
      <c r="B147" s="4" t="s">
        <v>187</v>
      </c>
      <c r="C147" s="9">
        <v>51102</v>
      </c>
      <c r="D147" s="10">
        <v>21200</v>
      </c>
      <c r="E147" s="10">
        <v>16725</v>
      </c>
      <c r="F147" s="11">
        <f t="shared" si="4"/>
        <v>0.78891509433962259</v>
      </c>
      <c r="G147" s="11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14</v>
      </c>
      <c r="L147" s="5">
        <v>27</v>
      </c>
    </row>
    <row r="148" spans="1:12" x14ac:dyDescent="0.3">
      <c r="A148" s="3" t="s">
        <v>184</v>
      </c>
      <c r="B148" s="4" t="s">
        <v>188</v>
      </c>
      <c r="C148" s="9">
        <v>9569</v>
      </c>
      <c r="D148" s="10">
        <v>19990</v>
      </c>
      <c r="E148" s="10">
        <v>16575</v>
      </c>
      <c r="F148" s="11">
        <f t="shared" si="4"/>
        <v>0.82916458229114554</v>
      </c>
      <c r="G148" s="11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14</v>
      </c>
      <c r="L148" s="5">
        <v>26</v>
      </c>
    </row>
    <row r="149" spans="1:12" x14ac:dyDescent="0.3">
      <c r="A149" s="3" t="s">
        <v>184</v>
      </c>
      <c r="B149" s="4" t="s">
        <v>189</v>
      </c>
      <c r="C149" s="9">
        <v>5596</v>
      </c>
      <c r="D149" s="10">
        <v>17500</v>
      </c>
      <c r="E149" s="10">
        <v>13760</v>
      </c>
      <c r="F149" s="11">
        <f t="shared" si="4"/>
        <v>0.78628571428571425</v>
      </c>
      <c r="G149" s="11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14</v>
      </c>
      <c r="L149" s="5">
        <v>26</v>
      </c>
    </row>
    <row r="150" spans="1:12" x14ac:dyDescent="0.3">
      <c r="A150" s="3" t="s">
        <v>184</v>
      </c>
      <c r="B150" s="4" t="s">
        <v>190</v>
      </c>
      <c r="C150" s="9">
        <v>49463</v>
      </c>
      <c r="D150" s="10">
        <v>15900</v>
      </c>
      <c r="E150" s="10">
        <v>11986</v>
      </c>
      <c r="F150" s="11">
        <f t="shared" si="4"/>
        <v>0.75383647798742137</v>
      </c>
      <c r="G150" s="11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14</v>
      </c>
      <c r="L150" s="5">
        <v>26</v>
      </c>
    </row>
    <row r="151" spans="1:12" x14ac:dyDescent="0.3">
      <c r="A151" s="3" t="s">
        <v>191</v>
      </c>
      <c r="B151" s="4" t="s">
        <v>192</v>
      </c>
      <c r="C151" s="9">
        <v>16957</v>
      </c>
      <c r="D151" s="10">
        <v>23400</v>
      </c>
      <c r="E151" s="10">
        <v>14334</v>
      </c>
      <c r="F151" s="11">
        <f t="shared" si="4"/>
        <v>0.61256410256410254</v>
      </c>
      <c r="G151" s="11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14</v>
      </c>
      <c r="L151" s="5">
        <v>25</v>
      </c>
    </row>
    <row r="152" spans="1:12" x14ac:dyDescent="0.3">
      <c r="A152" s="3" t="s">
        <v>191</v>
      </c>
      <c r="B152" s="4" t="s">
        <v>193</v>
      </c>
      <c r="C152" s="9">
        <v>3545</v>
      </c>
      <c r="D152" s="10">
        <v>24400</v>
      </c>
      <c r="E152" s="10">
        <v>15252</v>
      </c>
      <c r="F152" s="11">
        <f t="shared" si="4"/>
        <v>0.62508196721311471</v>
      </c>
      <c r="G152" s="11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14</v>
      </c>
      <c r="L152" s="5">
        <v>25</v>
      </c>
    </row>
    <row r="153" spans="1:12" x14ac:dyDescent="0.3">
      <c r="A153" s="3" t="s">
        <v>191</v>
      </c>
      <c r="B153" s="4" t="s">
        <v>194</v>
      </c>
      <c r="C153" s="9">
        <v>15245</v>
      </c>
      <c r="D153" s="10">
        <v>27500</v>
      </c>
      <c r="E153" s="10">
        <v>18900</v>
      </c>
      <c r="F153" s="11">
        <f t="shared" si="4"/>
        <v>0.68727272727272726</v>
      </c>
      <c r="G153" s="11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14</v>
      </c>
      <c r="L153" s="5">
        <v>25</v>
      </c>
    </row>
    <row r="154" spans="1:12" x14ac:dyDescent="0.3">
      <c r="A154" s="3" t="s">
        <v>191</v>
      </c>
      <c r="B154" s="4" t="s">
        <v>195</v>
      </c>
      <c r="C154" s="9">
        <v>17531</v>
      </c>
      <c r="D154" s="10">
        <v>28800</v>
      </c>
      <c r="E154" s="10">
        <v>20223</v>
      </c>
      <c r="F154" s="11">
        <f t="shared" si="4"/>
        <v>0.70218749999999996</v>
      </c>
      <c r="G154" s="11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14</v>
      </c>
      <c r="L154" s="5">
        <v>25</v>
      </c>
    </row>
    <row r="155" spans="1:12" x14ac:dyDescent="0.3">
      <c r="A155" s="3" t="s">
        <v>191</v>
      </c>
      <c r="B155" s="4" t="s">
        <v>196</v>
      </c>
      <c r="C155" s="9">
        <v>3493</v>
      </c>
      <c r="D155" s="10">
        <v>45500</v>
      </c>
      <c r="E155" s="10">
        <v>34175</v>
      </c>
      <c r="F155" s="11">
        <f t="shared" si="4"/>
        <v>0.75109890109890109</v>
      </c>
      <c r="G155" s="11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14</v>
      </c>
      <c r="L155" s="5">
        <v>23</v>
      </c>
    </row>
    <row r="156" spans="1:12" x14ac:dyDescent="0.3">
      <c r="A156" s="3" t="s">
        <v>191</v>
      </c>
      <c r="B156" s="4" t="s">
        <v>197</v>
      </c>
      <c r="C156" s="9">
        <v>18969</v>
      </c>
      <c r="D156" s="10">
        <v>36000</v>
      </c>
      <c r="E156" s="10">
        <v>26403</v>
      </c>
      <c r="F156" s="11">
        <f t="shared" si="4"/>
        <v>0.73341666666666672</v>
      </c>
      <c r="G156" s="11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14</v>
      </c>
      <c r="L156" s="5">
        <v>24</v>
      </c>
    </row>
  </sheetData>
  <conditionalFormatting sqref="G2:G156">
    <cfRule type="containsText" dxfId="1" priority="3" operator="containsText" text="POOR">
      <formula>NOT(ISERROR(SEARCH("POOR",G2)))</formula>
    </cfRule>
    <cfRule type="containsText" dxfId="0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Abdellah Boudlal</cp:lastModifiedBy>
  <cp:revision/>
  <dcterms:created xsi:type="dcterms:W3CDTF">2020-10-30T14:29:40Z</dcterms:created>
  <dcterms:modified xsi:type="dcterms:W3CDTF">2026-02-20T16:39:56Z</dcterms:modified>
  <cp:category/>
  <cp:contentStatus/>
</cp:coreProperties>
</file>